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il\OneDrive\Desktop\"/>
    </mc:Choice>
  </mc:AlternateContent>
  <xr:revisionPtr revIDLastSave="0" documentId="8_{FF637DA1-14E0-4469-B8C1-6E61D73DD1F3}" xr6:coauthVersionLast="47" xr6:coauthVersionMax="47" xr10:uidLastSave="{00000000-0000-0000-0000-000000000000}"/>
  <bookViews>
    <workbookView xWindow="3075" yWindow="1200" windowWidth="28395" windowHeight="15345" xr2:uid="{DEFC8598-15C5-4725-8F79-7B90AB71D0C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68" i="1" l="1"/>
  <c r="Y68" i="1"/>
  <c r="X68" i="1"/>
  <c r="U68" i="1"/>
  <c r="T68" i="1"/>
  <c r="S68" i="1"/>
  <c r="R68" i="1"/>
  <c r="P68" i="1"/>
  <c r="O68" i="1"/>
  <c r="N68" i="1"/>
  <c r="M68" i="1"/>
  <c r="L68" i="1"/>
  <c r="K68" i="1"/>
  <c r="J68" i="1"/>
  <c r="I68" i="1"/>
  <c r="H68" i="1"/>
  <c r="G68" i="1"/>
  <c r="E68" i="1"/>
  <c r="D68" i="1"/>
  <c r="C68" i="1"/>
  <c r="B68" i="1"/>
  <c r="A68" i="1"/>
  <c r="Z67" i="1"/>
  <c r="Y67" i="1"/>
  <c r="X67" i="1"/>
  <c r="V67" i="1"/>
  <c r="U67" i="1"/>
  <c r="T67" i="1"/>
  <c r="S67" i="1"/>
  <c r="R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Z66" i="1"/>
  <c r="Y66" i="1"/>
  <c r="X66" i="1"/>
  <c r="V66" i="1"/>
  <c r="U66" i="1"/>
  <c r="T66" i="1"/>
  <c r="S66" i="1"/>
  <c r="R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Z65" i="1"/>
  <c r="Y65" i="1"/>
  <c r="X65" i="1"/>
  <c r="V65" i="1"/>
  <c r="U65" i="1"/>
  <c r="T65" i="1"/>
  <c r="S65" i="1"/>
  <c r="R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Z64" i="1"/>
  <c r="Y64" i="1"/>
  <c r="X64" i="1"/>
  <c r="V64" i="1"/>
  <c r="U64" i="1"/>
  <c r="T64" i="1"/>
  <c r="S64" i="1"/>
  <c r="R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Z63" i="1"/>
  <c r="Y63" i="1"/>
  <c r="X63" i="1"/>
  <c r="V63" i="1"/>
  <c r="U63" i="1"/>
  <c r="T63" i="1"/>
  <c r="S63" i="1"/>
  <c r="R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Z62" i="1"/>
  <c r="Y62" i="1"/>
  <c r="X62" i="1"/>
  <c r="V62" i="1"/>
  <c r="U62" i="1"/>
  <c r="T62" i="1"/>
  <c r="S62" i="1"/>
  <c r="R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Z61" i="1"/>
  <c r="Y61" i="1"/>
  <c r="X61" i="1"/>
  <c r="V61" i="1"/>
  <c r="U61" i="1"/>
  <c r="T61" i="1"/>
  <c r="S61" i="1"/>
  <c r="R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Z60" i="1"/>
  <c r="Y60" i="1"/>
  <c r="X60" i="1"/>
  <c r="V60" i="1"/>
  <c r="U60" i="1"/>
  <c r="T60" i="1"/>
  <c r="S60" i="1"/>
  <c r="R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Z59" i="1"/>
  <c r="Y59" i="1"/>
  <c r="X59" i="1"/>
  <c r="V59" i="1"/>
  <c r="U59" i="1"/>
  <c r="T59" i="1"/>
  <c r="S59" i="1"/>
  <c r="R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Z58" i="1"/>
  <c r="Y58" i="1"/>
  <c r="X58" i="1"/>
  <c r="V58" i="1"/>
  <c r="U58" i="1"/>
  <c r="T58" i="1"/>
  <c r="S58" i="1"/>
  <c r="R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Z57" i="1"/>
  <c r="Y57" i="1"/>
  <c r="X57" i="1"/>
  <c r="V57" i="1"/>
  <c r="U57" i="1"/>
  <c r="T57" i="1"/>
  <c r="S57" i="1"/>
  <c r="R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Z56" i="1"/>
  <c r="Y56" i="1"/>
  <c r="X56" i="1"/>
  <c r="V56" i="1"/>
  <c r="U56" i="1"/>
  <c r="S56" i="1"/>
  <c r="R56" i="1"/>
  <c r="P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Z55" i="1"/>
  <c r="Y55" i="1"/>
  <c r="X55" i="1"/>
  <c r="V55" i="1"/>
  <c r="U55" i="1"/>
  <c r="T55" i="1"/>
  <c r="S55" i="1"/>
  <c r="R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Z54" i="1"/>
  <c r="Y54" i="1"/>
  <c r="X54" i="1"/>
  <c r="V54" i="1"/>
  <c r="U54" i="1"/>
  <c r="T54" i="1"/>
  <c r="S54" i="1"/>
  <c r="R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Z53" i="1"/>
  <c r="Y53" i="1"/>
  <c r="P53" i="1"/>
  <c r="O53" i="1"/>
  <c r="N53" i="1"/>
  <c r="M53" i="1"/>
  <c r="K53" i="1"/>
  <c r="J53" i="1"/>
  <c r="I53" i="1"/>
  <c r="H53" i="1"/>
  <c r="G53" i="1"/>
  <c r="F53" i="1"/>
  <c r="C53" i="1"/>
  <c r="B53" i="1"/>
  <c r="A53" i="1"/>
  <c r="Z52" i="1"/>
  <c r="Y52" i="1"/>
  <c r="X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Z51" i="1"/>
  <c r="Y51" i="1"/>
  <c r="X51" i="1"/>
  <c r="V51" i="1"/>
  <c r="U51" i="1"/>
  <c r="T51" i="1"/>
  <c r="S51" i="1"/>
  <c r="R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Z50" i="1"/>
  <c r="Y50" i="1"/>
  <c r="X50" i="1"/>
  <c r="V50" i="1"/>
  <c r="U50" i="1"/>
  <c r="T50" i="1"/>
  <c r="S50" i="1"/>
  <c r="R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Z49" i="1"/>
  <c r="Y49" i="1"/>
  <c r="X49" i="1"/>
  <c r="V49" i="1"/>
  <c r="U49" i="1"/>
  <c r="T49" i="1"/>
  <c r="S49" i="1"/>
  <c r="R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Z48" i="1"/>
  <c r="Y48" i="1"/>
  <c r="X48" i="1"/>
  <c r="U48" i="1"/>
  <c r="T48" i="1"/>
  <c r="S48" i="1"/>
  <c r="R48" i="1"/>
  <c r="P48" i="1"/>
  <c r="O48" i="1"/>
  <c r="N48" i="1"/>
  <c r="M48" i="1"/>
  <c r="K48" i="1"/>
  <c r="J48" i="1"/>
  <c r="I48" i="1"/>
  <c r="H48" i="1"/>
  <c r="G48" i="1"/>
  <c r="F48" i="1"/>
  <c r="D48" i="1"/>
  <c r="C48" i="1"/>
  <c r="B48" i="1"/>
  <c r="A48" i="1"/>
  <c r="Z47" i="1"/>
  <c r="Y47" i="1"/>
  <c r="X47" i="1"/>
  <c r="V47" i="1"/>
  <c r="U47" i="1"/>
  <c r="T47" i="1"/>
  <c r="S47" i="1"/>
  <c r="R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Z46" i="1"/>
  <c r="Y46" i="1"/>
  <c r="X46" i="1"/>
  <c r="V46" i="1"/>
  <c r="U46" i="1"/>
  <c r="T46" i="1"/>
  <c r="S46" i="1"/>
  <c r="R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Z45" i="1"/>
  <c r="Y45" i="1"/>
  <c r="X45" i="1"/>
  <c r="V45" i="1"/>
  <c r="U45" i="1"/>
  <c r="T45" i="1"/>
  <c r="S45" i="1"/>
  <c r="R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Z44" i="1"/>
  <c r="Y44" i="1"/>
  <c r="X44" i="1"/>
  <c r="V44" i="1"/>
  <c r="U44" i="1"/>
  <c r="T44" i="1"/>
  <c r="S44" i="1"/>
  <c r="R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Z43" i="1"/>
  <c r="Y43" i="1"/>
  <c r="X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Z42" i="1"/>
  <c r="Y42" i="1"/>
  <c r="X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Z41" i="1"/>
  <c r="Y41" i="1"/>
  <c r="X41" i="1"/>
  <c r="V41" i="1"/>
  <c r="U41" i="1"/>
  <c r="T41" i="1"/>
  <c r="S41" i="1"/>
  <c r="R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Z40" i="1"/>
  <c r="Y40" i="1"/>
  <c r="X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Z39" i="1"/>
  <c r="Y39" i="1"/>
  <c r="X39" i="1"/>
  <c r="V39" i="1"/>
  <c r="U39" i="1"/>
  <c r="T39" i="1"/>
  <c r="S39" i="1"/>
  <c r="R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Z38" i="1"/>
  <c r="Y38" i="1"/>
  <c r="X38" i="1"/>
  <c r="V38" i="1"/>
  <c r="U38" i="1"/>
  <c r="T38" i="1"/>
  <c r="S38" i="1"/>
  <c r="R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Z37" i="1"/>
  <c r="Y37" i="1"/>
  <c r="X37" i="1"/>
  <c r="V37" i="1"/>
  <c r="U37" i="1"/>
  <c r="T37" i="1"/>
  <c r="S37" i="1"/>
  <c r="R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Z36" i="1"/>
  <c r="Y36" i="1"/>
  <c r="X36" i="1"/>
  <c r="V36" i="1"/>
  <c r="U36" i="1"/>
  <c r="T36" i="1"/>
  <c r="S36" i="1"/>
  <c r="R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Z35" i="1"/>
  <c r="Y35" i="1"/>
  <c r="X35" i="1"/>
  <c r="V35" i="1"/>
  <c r="U35" i="1"/>
  <c r="T35" i="1"/>
  <c r="S35" i="1"/>
  <c r="R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Z34" i="1"/>
  <c r="Y34" i="1"/>
  <c r="X34" i="1"/>
  <c r="V34" i="1"/>
  <c r="U34" i="1"/>
  <c r="T34" i="1"/>
  <c r="S34" i="1"/>
  <c r="R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Z33" i="1"/>
  <c r="Y33" i="1"/>
  <c r="X33" i="1"/>
  <c r="V33" i="1"/>
  <c r="U33" i="1"/>
  <c r="T33" i="1"/>
  <c r="S33" i="1"/>
  <c r="R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Y32" i="1"/>
  <c r="X32" i="1"/>
  <c r="U32" i="1"/>
  <c r="T32" i="1"/>
  <c r="S32" i="1"/>
  <c r="R32" i="1"/>
  <c r="P32" i="1"/>
  <c r="N32" i="1"/>
  <c r="M32" i="1"/>
  <c r="L32" i="1"/>
  <c r="K32" i="1"/>
  <c r="J32" i="1"/>
  <c r="I32" i="1"/>
  <c r="H32" i="1"/>
  <c r="G32" i="1"/>
  <c r="C32" i="1"/>
  <c r="B32" i="1"/>
  <c r="A32" i="1"/>
  <c r="Z31" i="1"/>
  <c r="Y31" i="1"/>
  <c r="X31" i="1"/>
  <c r="V31" i="1"/>
  <c r="U31" i="1"/>
  <c r="T31" i="1"/>
  <c r="S31" i="1"/>
  <c r="R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Z30" i="1"/>
  <c r="Y30" i="1"/>
  <c r="X30" i="1"/>
  <c r="V30" i="1"/>
  <c r="U30" i="1"/>
  <c r="T30" i="1"/>
  <c r="S30" i="1"/>
  <c r="R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Z29" i="1"/>
  <c r="Y29" i="1"/>
  <c r="X29" i="1"/>
  <c r="U29" i="1"/>
  <c r="T29" i="1"/>
  <c r="S29" i="1"/>
  <c r="R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Z28" i="1"/>
  <c r="Y28" i="1"/>
  <c r="X28" i="1"/>
  <c r="U28" i="1"/>
  <c r="T28" i="1"/>
  <c r="S28" i="1"/>
  <c r="R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Z27" i="1"/>
  <c r="Y27" i="1"/>
  <c r="X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Z25" i="1"/>
  <c r="Y25" i="1"/>
  <c r="X25" i="1"/>
  <c r="V25" i="1"/>
  <c r="U25" i="1"/>
  <c r="T25" i="1"/>
  <c r="S25" i="1"/>
  <c r="R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Z24" i="1"/>
  <c r="Y24" i="1"/>
  <c r="X24" i="1"/>
  <c r="V24" i="1"/>
  <c r="U24" i="1"/>
  <c r="T24" i="1"/>
  <c r="R24" i="1"/>
  <c r="P24" i="1"/>
  <c r="O24" i="1"/>
  <c r="N24" i="1"/>
  <c r="M24" i="1"/>
  <c r="L24" i="1"/>
  <c r="K24" i="1"/>
  <c r="J24" i="1"/>
  <c r="I24" i="1"/>
  <c r="H24" i="1"/>
  <c r="G24" i="1"/>
  <c r="F24" i="1"/>
  <c r="E24" i="1"/>
  <c r="C24" i="1"/>
  <c r="B24" i="1"/>
  <c r="A24" i="1"/>
  <c r="Z23" i="1"/>
  <c r="Y23" i="1"/>
  <c r="X23" i="1"/>
  <c r="V23" i="1"/>
  <c r="U23" i="1"/>
  <c r="T23" i="1"/>
  <c r="R23" i="1"/>
  <c r="P23" i="1"/>
  <c r="O23" i="1"/>
  <c r="N23" i="1"/>
  <c r="M23" i="1"/>
  <c r="L23" i="1"/>
  <c r="K23" i="1"/>
  <c r="J23" i="1"/>
  <c r="I23" i="1"/>
  <c r="H23" i="1"/>
  <c r="G23" i="1"/>
  <c r="F23" i="1"/>
  <c r="D23" i="1"/>
  <c r="C23" i="1"/>
  <c r="B23" i="1"/>
  <c r="A23" i="1"/>
  <c r="Z22" i="1"/>
  <c r="Y22" i="1"/>
  <c r="X22" i="1"/>
  <c r="V22" i="1"/>
  <c r="U22" i="1"/>
  <c r="T22" i="1"/>
  <c r="S22" i="1"/>
  <c r="R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Z21" i="1"/>
  <c r="Y21" i="1"/>
  <c r="X21" i="1"/>
  <c r="V21" i="1"/>
  <c r="U21" i="1"/>
  <c r="T21" i="1"/>
  <c r="S21" i="1"/>
  <c r="R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Z20" i="1"/>
  <c r="Y20" i="1"/>
  <c r="X20" i="1"/>
  <c r="V20" i="1"/>
  <c r="U20" i="1"/>
  <c r="T20" i="1"/>
  <c r="S20" i="1"/>
  <c r="R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Z19" i="1"/>
  <c r="Y19" i="1"/>
  <c r="X19" i="1"/>
  <c r="V19" i="1"/>
  <c r="U19" i="1"/>
  <c r="T19" i="1"/>
  <c r="S19" i="1"/>
  <c r="R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Z18" i="1"/>
  <c r="Y18" i="1"/>
  <c r="X18" i="1"/>
  <c r="V18" i="1"/>
  <c r="U18" i="1"/>
  <c r="T18" i="1"/>
  <c r="S18" i="1"/>
  <c r="R18" i="1"/>
  <c r="P18" i="1"/>
  <c r="O18" i="1"/>
  <c r="N18" i="1"/>
  <c r="M18" i="1"/>
  <c r="K18" i="1"/>
  <c r="J18" i="1"/>
  <c r="I18" i="1"/>
  <c r="H18" i="1"/>
  <c r="G18" i="1"/>
  <c r="F18" i="1"/>
  <c r="E18" i="1"/>
  <c r="D18" i="1"/>
  <c r="C18" i="1"/>
  <c r="B18" i="1"/>
  <c r="A18" i="1"/>
  <c r="Z17" i="1"/>
  <c r="Y17" i="1"/>
  <c r="X17" i="1"/>
  <c r="R17" i="1"/>
  <c r="N17" i="1"/>
  <c r="M17" i="1"/>
  <c r="K17" i="1"/>
  <c r="J17" i="1"/>
  <c r="I17" i="1"/>
  <c r="H17" i="1"/>
  <c r="G17" i="1"/>
  <c r="C17" i="1"/>
  <c r="B17" i="1"/>
  <c r="A17" i="1"/>
  <c r="Z16" i="1"/>
  <c r="Y16" i="1"/>
  <c r="X16" i="1"/>
  <c r="V16" i="1"/>
  <c r="U16" i="1"/>
  <c r="T16" i="1"/>
  <c r="S16" i="1"/>
  <c r="R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Z15" i="1"/>
  <c r="Y15" i="1"/>
  <c r="X15" i="1"/>
  <c r="V15" i="1"/>
  <c r="U15" i="1"/>
  <c r="T15" i="1"/>
  <c r="S15" i="1"/>
  <c r="R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Z14" i="1"/>
  <c r="Y14" i="1"/>
  <c r="X14" i="1"/>
  <c r="V14" i="1"/>
  <c r="U14" i="1"/>
  <c r="T14" i="1"/>
  <c r="S14" i="1"/>
  <c r="R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Z13" i="1"/>
  <c r="Y13" i="1"/>
  <c r="X13" i="1"/>
  <c r="V13" i="1"/>
  <c r="U13" i="1"/>
  <c r="T13" i="1"/>
  <c r="S13" i="1"/>
  <c r="R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Z12" i="1"/>
  <c r="Y12" i="1"/>
  <c r="X12" i="1"/>
  <c r="V12" i="1"/>
  <c r="U12" i="1"/>
  <c r="T12" i="1"/>
  <c r="S12" i="1"/>
  <c r="R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Z11" i="1"/>
  <c r="Y11" i="1"/>
  <c r="X11" i="1"/>
  <c r="V11" i="1"/>
  <c r="U11" i="1"/>
  <c r="T11" i="1"/>
  <c r="S11" i="1"/>
  <c r="R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Z10" i="1"/>
  <c r="Y10" i="1"/>
  <c r="X10" i="1"/>
  <c r="V10" i="1"/>
  <c r="U10" i="1"/>
  <c r="T10" i="1"/>
  <c r="S10" i="1"/>
  <c r="R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Z9" i="1"/>
  <c r="Y9" i="1"/>
  <c r="X9" i="1"/>
  <c r="V9" i="1"/>
  <c r="U9" i="1"/>
  <c r="T9" i="1"/>
  <c r="S9" i="1"/>
  <c r="R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Z8" i="1"/>
  <c r="Y8" i="1"/>
  <c r="X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D8" i="1"/>
  <c r="C8" i="1"/>
  <c r="B8" i="1"/>
  <c r="A8" i="1"/>
  <c r="Z7" i="1"/>
  <c r="Y7" i="1"/>
  <c r="X7" i="1"/>
  <c r="V7" i="1"/>
  <c r="U7" i="1"/>
  <c r="T7" i="1"/>
  <c r="S7" i="1"/>
  <c r="R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Z6" i="1"/>
  <c r="Y6" i="1"/>
  <c r="X6" i="1"/>
  <c r="V6" i="1"/>
  <c r="U6" i="1"/>
  <c r="T6" i="1"/>
  <c r="S6" i="1"/>
  <c r="R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Z5" i="1"/>
  <c r="Y5" i="1"/>
  <c r="X5" i="1"/>
  <c r="V5" i="1"/>
  <c r="U5" i="1"/>
  <c r="T5" i="1"/>
  <c r="S5" i="1"/>
  <c r="R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Z4" i="1"/>
  <c r="Y4" i="1"/>
  <c r="X4" i="1"/>
  <c r="V4" i="1"/>
  <c r="U4" i="1"/>
  <c r="T4" i="1"/>
  <c r="S4" i="1"/>
  <c r="R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Z3" i="1"/>
  <c r="Y3" i="1"/>
  <c r="X3" i="1"/>
  <c r="W3" i="1"/>
  <c r="V3" i="1"/>
  <c r="U3" i="1"/>
  <c r="T3" i="1"/>
  <c r="S3" i="1"/>
  <c r="R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]#,##0"/>
    <numFmt numFmtId="165" formatCode="0.0%"/>
    <numFmt numFmtId="166" formatCode="dd\.mm\.yyyy"/>
    <numFmt numFmtId="167" formatCode="[$€]#,##0"/>
    <numFmt numFmtId="168" formatCode="[$$]#,##0.00"/>
  </numFmts>
  <fonts count="9" x14ac:knownFonts="1">
    <font>
      <sz val="11"/>
      <color theme="1"/>
      <name val="Aptos Narrow"/>
      <family val="2"/>
      <charset val="204"/>
      <scheme val="minor"/>
    </font>
    <font>
      <b/>
      <u/>
      <sz val="20"/>
      <color rgb="FF0B5394"/>
      <name val="Calibri"/>
    </font>
    <font>
      <b/>
      <sz val="20"/>
      <color rgb="FF0B5394"/>
      <name val="Aptos Narrow"/>
      <scheme val="minor"/>
    </font>
    <font>
      <b/>
      <sz val="12"/>
      <color rgb="FFFFFFFF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u/>
      <sz val="11"/>
      <color rgb="FF0000FF"/>
      <name val="Calibri"/>
    </font>
    <font>
      <b/>
      <u/>
      <sz val="11"/>
      <color rgb="FF0000FF"/>
      <name val="Calibri"/>
    </font>
    <font>
      <u/>
      <sz val="11"/>
      <color rgb="FF0563C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vertical="center" wrapText="1"/>
    </xf>
    <xf numFmtId="10" fontId="2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0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10" fontId="2" fillId="2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10" fontId="3" fillId="3" borderId="0" xfId="0" applyNumberFormat="1" applyFont="1" applyFill="1" applyAlignment="1">
      <alignment horizontal="left" vertical="center" wrapText="1"/>
    </xf>
    <xf numFmtId="49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0" fontId="3" fillId="3" borderId="0" xfId="0" applyNumberFormat="1" applyFont="1" applyFill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10" fontId="3" fillId="3" borderId="0" xfId="0" applyNumberFormat="1" applyFont="1" applyFill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vertical="center" wrapText="1"/>
    </xf>
    <xf numFmtId="3" fontId="5" fillId="0" borderId="1" xfId="0" applyNumberFormat="1" applyFont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9" fontId="5" fillId="0" borderId="1" xfId="0" applyNumberFormat="1" applyFont="1" applyBorder="1" applyAlignment="1">
      <alignment vertical="center" wrapText="1"/>
    </xf>
    <xf numFmtId="10" fontId="6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166" fontId="6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vertical="center" wrapText="1"/>
    </xf>
    <xf numFmtId="167" fontId="5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68" fontId="5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49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0" fontId="5" fillId="0" borderId="0" xfId="0" applyNumberFormat="1" applyFont="1" applyAlignment="1">
      <alignment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andex.com/maps/-/CDvqJB5f" TargetMode="External"/><Relationship Id="rId299" Type="http://schemas.openxmlformats.org/officeDocument/2006/relationships/hyperlink" Target="https://yandex.ru/maps/-/CLdkRD-d" TargetMode="External"/><Relationship Id="rId21" Type="http://schemas.openxmlformats.org/officeDocument/2006/relationships/hyperlink" Target="https://drive.google.com/drive/folders/1NF0oUhCSmgo-Et51AoAAOInunI0H42SM?usp=drive_link" TargetMode="External"/><Relationship Id="rId63" Type="http://schemas.openxmlformats.org/officeDocument/2006/relationships/hyperlink" Target="https://chat.whatsapp.com/FZOYAdXLEha5sE15FYKuM6" TargetMode="External"/><Relationship Id="rId159" Type="http://schemas.openxmlformats.org/officeDocument/2006/relationships/hyperlink" Target="https://drive.google.com/drive/folders/1p6khe4xJHlCUQ09u71rtiXYHLhmCGG_t" TargetMode="External"/><Relationship Id="rId324" Type="http://schemas.openxmlformats.org/officeDocument/2006/relationships/hyperlink" Target="https://docs.google.com/spreadsheets/d/1c4mkBYUS_2arz4MF98D7Q8mubMmB8vjG/edit?usp=drive_link&amp;ouid=116084675561114154810&amp;rtpof=true&amp;sd=true" TargetMode="External"/><Relationship Id="rId170" Type="http://schemas.openxmlformats.org/officeDocument/2006/relationships/hyperlink" Target="https://www.metropol.ge/en/projects/parallel" TargetMode="External"/><Relationship Id="rId226" Type="http://schemas.openxmlformats.org/officeDocument/2006/relationships/hyperlink" Target="https://chat.whatsapp.com/CA6WkYoQHwJG9L4oEGaD9p" TargetMode="External"/><Relationship Id="rId268" Type="http://schemas.openxmlformats.org/officeDocument/2006/relationships/hyperlink" Target="https://chat.whatsapp.com/D0MmfH2ERea7MRD8jTGK0U" TargetMode="External"/><Relationship Id="rId32" Type="http://schemas.openxmlformats.org/officeDocument/2006/relationships/hyperlink" Target="https://chat.whatsapp.com/BiEdRS0Yab0EhFpsGoNsN7" TargetMode="External"/><Relationship Id="rId74" Type="http://schemas.openxmlformats.org/officeDocument/2006/relationships/hyperlink" Target="https://drive.google.com/drive/folders/193YV_cDjwwzsFU8PQhYUADfXcmp2UPh5" TargetMode="External"/><Relationship Id="rId128" Type="http://schemas.openxmlformats.org/officeDocument/2006/relationships/hyperlink" Target="https://drive.google.com/drive/folders/1H1WGSDz5uU-Ss0tiViHopdNfEzWUqU3O?usp=drive_link" TargetMode="External"/><Relationship Id="rId335" Type="http://schemas.openxmlformats.org/officeDocument/2006/relationships/hyperlink" Target="https://chat.whatsapp.com/FEY35HV9sS9Kh1iXniOJnv" TargetMode="External"/><Relationship Id="rId5" Type="http://schemas.openxmlformats.org/officeDocument/2006/relationships/hyperlink" Target="https://ally.ge/auth/login" TargetMode="External"/><Relationship Id="rId181" Type="http://schemas.openxmlformats.org/officeDocument/2006/relationships/hyperlink" Target="https://chat.whatsapp.com/BaKchh6KbjE4dyUQvLnaDI" TargetMode="External"/><Relationship Id="rId237" Type="http://schemas.openxmlformats.org/officeDocument/2006/relationships/hyperlink" Target="https://drive.google.com/drive/folders/1vRxDJ1UuNIJYweau78opizTFni12OoZ9" TargetMode="External"/><Relationship Id="rId279" Type="http://schemas.openxmlformats.org/officeDocument/2006/relationships/hyperlink" Target="https://chat.whatsapp.com/DD07q7w4TRn49rwi7rhR2c" TargetMode="External"/><Relationship Id="rId43" Type="http://schemas.openxmlformats.org/officeDocument/2006/relationships/hyperlink" Target="https://www.intouristresidence.ge/?lang=en" TargetMode="External"/><Relationship Id="rId139" Type="http://schemas.openxmlformats.org/officeDocument/2006/relationships/hyperlink" Target="https://drive.google.com/drive/folders/1UjDBboBdD2u48gJNJNSuiPrDIKp8agNb?usp=drive_link" TargetMode="External"/><Relationship Id="rId290" Type="http://schemas.openxmlformats.org/officeDocument/2006/relationships/hyperlink" Target="https://centralmg.ge/ru/piazza/apartments" TargetMode="External"/><Relationship Id="rId304" Type="http://schemas.openxmlformats.org/officeDocument/2006/relationships/hyperlink" Target="https://maps.app.goo.gl/kp5SKTbfmJp3a6my8" TargetMode="External"/><Relationship Id="rId85" Type="http://schemas.openxmlformats.org/officeDocument/2006/relationships/hyperlink" Target="https://chat.whatsapp.com/Jq1EMdpbz5f0dA9ePeLBrT?mode=ems_copy_c" TargetMode="External"/><Relationship Id="rId150" Type="http://schemas.openxmlformats.org/officeDocument/2006/relationships/hyperlink" Target="https://yandex.com.ge/maps/10278/batumi/geo/4963798326/?ll=41.595918%2C41.622147&amp;z=17.91" TargetMode="External"/><Relationship Id="rId192" Type="http://schemas.openxmlformats.org/officeDocument/2006/relationships/hyperlink" Target="https://drive.google.com/drive/folders/1qN3anA6uld1p-ZjJHiw1Zk-dKX1OQK_E?usp=drive_link" TargetMode="External"/><Relationship Id="rId206" Type="http://schemas.openxmlformats.org/officeDocument/2006/relationships/hyperlink" Target="https://drive.google.com/drive/folders/1k5WDFAUoZlP4kPjMJGIzyUiW1THS72Ji?usp=drive_link" TargetMode="External"/><Relationship Id="rId248" Type="http://schemas.openxmlformats.org/officeDocument/2006/relationships/hyperlink" Target="https://chat.whatsapp.com/FrHlvgubrLCHm8u6HkVxAv" TargetMode="External"/><Relationship Id="rId12" Type="http://schemas.openxmlformats.org/officeDocument/2006/relationships/hyperlink" Target="https://www.youtube.com/watch?v=_3G6KtuAMe4" TargetMode="External"/><Relationship Id="rId108" Type="http://schemas.openxmlformats.org/officeDocument/2006/relationships/hyperlink" Target="https://yandex.com.ge/maps/10278/batumi/house/YEgYcAdkTU0DQFprfXpyc3tgZg==/" TargetMode="External"/><Relationship Id="rId315" Type="http://schemas.openxmlformats.org/officeDocument/2006/relationships/hyperlink" Target="https://drive.google.com/drive/folders/1rPrCXZnrAhmY53nAPXhUw46OY65vPj1V?usp=drive_link" TargetMode="External"/><Relationship Id="rId54" Type="http://schemas.openxmlformats.org/officeDocument/2006/relationships/hyperlink" Target="https://drive.google.com/drive/folders/1Yu5sqyGBWICqVVIM7nlwgkAph4BW8Xt9?usp=drive_link" TargetMode="External"/><Relationship Id="rId96" Type="http://schemas.openxmlformats.org/officeDocument/2006/relationships/hyperlink" Target="https://guruholding.ge/project_gurustatus" TargetMode="External"/><Relationship Id="rId161" Type="http://schemas.openxmlformats.org/officeDocument/2006/relationships/hyperlink" Target="https://chat.whatsapp.com/Bb35LMHwDcTDGqDHxFS6fD" TargetMode="External"/><Relationship Id="rId217" Type="http://schemas.openxmlformats.org/officeDocument/2006/relationships/hyperlink" Target="https://docs.google.com/spreadsheets/d/1peo7-Cga66w2YDB8vHYB3HIzqmIodan-/edit?usp=sharing&amp;ouid=113562457493731253032&amp;rtpof=true&amp;sd=true" TargetMode="External"/><Relationship Id="rId259" Type="http://schemas.openxmlformats.org/officeDocument/2006/relationships/hyperlink" Target="http://google.com/maps/place/%D0%9A%D0%B0%D1%85%D0%B5%D1%82%D0%B8%D1%8F/data=!4m2!3m1!1s0x40468746afc43f8f:0xfd4f9b5de3e7dcb4?sa=X&amp;ved=1t:242&amp;ictx=111" TargetMode="External"/><Relationship Id="rId23" Type="http://schemas.openxmlformats.org/officeDocument/2006/relationships/hyperlink" Target="https://ally.ge/auth/login" TargetMode="External"/><Relationship Id="rId119" Type="http://schemas.openxmlformats.org/officeDocument/2006/relationships/hyperlink" Target="https://www.youtube.com/watch?v=Lp3PUpdsAuU" TargetMode="External"/><Relationship Id="rId270" Type="http://schemas.openxmlformats.org/officeDocument/2006/relationships/hyperlink" Target="https://yandex.com.ge/maps/-/CDxOjT5M" TargetMode="External"/><Relationship Id="rId326" Type="http://schemas.openxmlformats.org/officeDocument/2006/relationships/hyperlink" Target="https://chat.whatsapp.com/HHIbYl2Y2zc3stHNYwEMII" TargetMode="External"/><Relationship Id="rId65" Type="http://schemas.openxmlformats.org/officeDocument/2006/relationships/hyperlink" Target="https://yandex.com.ge/maps/10278/batumi/?ll=41.592168%2C41.621056&amp;mode=whatshere&amp;whatshere%5Bpoint%5D=41.590777%2C41.621373&amp;whatshere%5Bzoom%5D=17.93&amp;z=17.93" TargetMode="External"/><Relationship Id="rId130" Type="http://schemas.openxmlformats.org/officeDocument/2006/relationships/hyperlink" Target="https://drive.google.com/file/d/1YAR-qpyoqKOD7Dr0Qak2efqhWIqbX6j9/view?usp=drive_link" TargetMode="External"/><Relationship Id="rId172" Type="http://schemas.openxmlformats.org/officeDocument/2006/relationships/hyperlink" Target="https://drive.google.com/drive/folders/1dsH24RxCkF-T1tKAGqUADIaulFBmIfE1?usp=drive_link" TargetMode="External"/><Relationship Id="rId228" Type="http://schemas.openxmlformats.org/officeDocument/2006/relationships/hyperlink" Target="https://yandex.com.ge/maps/?ll=41.593612%2C41.582386&amp;mode=whatshere&amp;whatshere%5Bpoint%5D=41.590864%2C41.580661&amp;whatshere%5Bzoom%5D=15.93&amp;z=15.93" TargetMode="External"/><Relationship Id="rId281" Type="http://schemas.openxmlformats.org/officeDocument/2006/relationships/hyperlink" Target="https://yandex.com.ge/maps/101399/kobuleti/?ll=41.781053%2C41.799216&amp;mode=whatshere&amp;whatshere%5Bpoint%5D=41.786713%2C41.798065&amp;whatshere%5Bzoom%5D=16&amp;z=16" TargetMode="External"/><Relationship Id="rId337" Type="http://schemas.openxmlformats.org/officeDocument/2006/relationships/hyperlink" Target="https://yandex.com.ge/maps/10278/batumi/house/YEgYcw5lSk0DQFprfXpzcH5jYw==/?ll=41.595384%2C41.621207&amp;z=16" TargetMode="External"/><Relationship Id="rId34" Type="http://schemas.openxmlformats.org/officeDocument/2006/relationships/hyperlink" Target="https://yandex.com.ge/maps/-/CHFbEG1E" TargetMode="External"/><Relationship Id="rId76" Type="http://schemas.openxmlformats.org/officeDocument/2006/relationships/hyperlink" Target="https://drive.google.com/drive/folders/1aEpqun0RP1CVHJAuqY6zVYD61dpne3Hs" TargetMode="External"/><Relationship Id="rId141" Type="http://schemas.openxmlformats.org/officeDocument/2006/relationships/hyperlink" Target="https://drive.google.com/drive/folders/1hXaNtexBCbHCsUkWgccTHHjY-VMQhgih?usp=drive_link" TargetMode="External"/><Relationship Id="rId7" Type="http://schemas.openxmlformats.org/officeDocument/2006/relationships/hyperlink" Target="https://alliance.ge/ru/projects/alliance-highline" TargetMode="External"/><Relationship Id="rId183" Type="http://schemas.openxmlformats.org/officeDocument/2006/relationships/hyperlink" Target="https://yandex.com/maps/-/CDtIR83h" TargetMode="External"/><Relationship Id="rId239" Type="http://schemas.openxmlformats.org/officeDocument/2006/relationships/hyperlink" Target="https://flatshow.property/ru/Ramada_Batumi" TargetMode="External"/><Relationship Id="rId250" Type="http://schemas.openxmlformats.org/officeDocument/2006/relationships/hyperlink" Target="https://yandex.com.ge/maps/?ll=41.739846%2C41.727578&amp;mode=whatshere&amp;whatshere%5Bpoint%5D=41.743346%2C41.727569&amp;whatshere%5Bzoom%5D=16.8&amp;z=16.8" TargetMode="External"/><Relationship Id="rId292" Type="http://schemas.openxmlformats.org/officeDocument/2006/relationships/hyperlink" Target="https://drive.google.com/drive/folders/1BrOIsJI95xLA7ux7JPJpIjR7rQD2db3G?usp=drive_link" TargetMode="External"/><Relationship Id="rId306" Type="http://schemas.openxmlformats.org/officeDocument/2006/relationships/hyperlink" Target="https://studio.youtube.com/video/J7yRqo6Idvs/edit" TargetMode="External"/><Relationship Id="rId45" Type="http://schemas.openxmlformats.org/officeDocument/2006/relationships/hyperlink" Target="https://drive.google.com/drive/folders/1XB1upPL445r74DQPnW5qJQ4mer51D7_M?usp=drive_link" TargetMode="External"/><Relationship Id="rId87" Type="http://schemas.openxmlformats.org/officeDocument/2006/relationships/hyperlink" Target="https://yandex.com.ge/maps/10278/batumi/house/YEgYcAVhTEUAQFprfXpydHtnYQ==/?ll=41.621507%2C41.635745&amp;z=16" TargetMode="External"/><Relationship Id="rId110" Type="http://schemas.openxmlformats.org/officeDocument/2006/relationships/hyperlink" Target="https://gumbati.ge/en/projects/montemar" TargetMode="External"/><Relationship Id="rId152" Type="http://schemas.openxmlformats.org/officeDocument/2006/relationships/hyperlink" Target="https://drive.google.com/drive/folders/1SfoDuk4l09Q9cuRXmbslervxhDGf6yGG" TargetMode="External"/><Relationship Id="rId194" Type="http://schemas.openxmlformats.org/officeDocument/2006/relationships/hyperlink" Target="https://drive.google.com/drive/folders/1Qy3c4cbVLqZk-XmwEteGTNFytpYeh7P_" TargetMode="External"/><Relationship Id="rId208" Type="http://schemas.openxmlformats.org/officeDocument/2006/relationships/hyperlink" Target="https://linktr.ee/Next.Apartmets" TargetMode="External"/><Relationship Id="rId240" Type="http://schemas.openxmlformats.org/officeDocument/2006/relationships/hyperlink" Target="https://www.youtube.com/watch?v=HxpvV_65oRo" TargetMode="External"/><Relationship Id="rId261" Type="http://schemas.openxmlformats.org/officeDocument/2006/relationships/hyperlink" Target="https://tempoholding.ge/ru/queens" TargetMode="External"/><Relationship Id="rId14" Type="http://schemas.openxmlformats.org/officeDocument/2006/relationships/hyperlink" Target="https://alliance.ge/en/projects/alliance-privilege" TargetMode="External"/><Relationship Id="rId35" Type="http://schemas.openxmlformats.org/officeDocument/2006/relationships/hyperlink" Target="https://flatshow.property/ru/Parkline" TargetMode="External"/><Relationship Id="rId56" Type="http://schemas.openxmlformats.org/officeDocument/2006/relationships/hyperlink" Target="https://drive.google.com/drive/folders/18HS_Gg1ux6JidzwXaU8mPxybyQhqW20t?usp=drive_link" TargetMode="External"/><Relationship Id="rId77" Type="http://schemas.openxmlformats.org/officeDocument/2006/relationships/hyperlink" Target="https://drive.google.com/drive/folders/1sSjekMRuiNa9n2ZYk70alhn0smS38xZt" TargetMode="External"/><Relationship Id="rId100" Type="http://schemas.openxmlformats.org/officeDocument/2006/relationships/hyperlink" Target="https://drive.google.com/drive/folders/19Ar9IPGcqIE4Hq_PbcTm1W-VsbJpILRJ?usp=drive_link" TargetMode="External"/><Relationship Id="rId282" Type="http://schemas.openxmlformats.org/officeDocument/2006/relationships/hyperlink" Target="https://centralmg.ge/kvirike-residence/apartments" TargetMode="External"/><Relationship Id="rId317" Type="http://schemas.openxmlformats.org/officeDocument/2006/relationships/hyperlink" Target="https://orangesales.ge/cabinet/applications" TargetMode="External"/><Relationship Id="rId338" Type="http://schemas.openxmlformats.org/officeDocument/2006/relationships/hyperlink" Target="https://drive.google.com/drive/folders/1zNUpWPzsS_0p535NgfdK0X7-PmHfVD4g" TargetMode="External"/><Relationship Id="rId8" Type="http://schemas.openxmlformats.org/officeDocument/2006/relationships/hyperlink" Target="https://chat.whatsapp.com/HHmFRbkcKPTFBHl5vkafqO" TargetMode="External"/><Relationship Id="rId98" Type="http://schemas.openxmlformats.org/officeDocument/2006/relationships/hyperlink" Target="https://drive.google.com/drive/folders/1oPAegBYn-yTxOvUPYySK3ve_snZCp4AK?usp=drive_link" TargetMode="External"/><Relationship Id="rId121" Type="http://schemas.openxmlformats.org/officeDocument/2006/relationships/hyperlink" Target="https://ikon.ge/" TargetMode="External"/><Relationship Id="rId142" Type="http://schemas.openxmlformats.org/officeDocument/2006/relationships/hyperlink" Target="https://blueskytower.ge/ru" TargetMode="External"/><Relationship Id="rId163" Type="http://schemas.openxmlformats.org/officeDocument/2006/relationships/hyperlink" Target="https://yandex.com.ge/maps/10278/batumi/?ll=41.616221%2C41.637608&amp;mode=whatshere&amp;whatshere%5Bpoint%5D=41.616053%2C41.638588&amp;whatshere%5Bzoom%5D=16.73&amp;z=16.73" TargetMode="External"/><Relationship Id="rId184" Type="http://schemas.openxmlformats.org/officeDocument/2006/relationships/hyperlink" Target="https://drive.google.com/drive/folders/13aVhKDRXcROfIZrVyL-RJV5u-sJow09d" TargetMode="External"/><Relationship Id="rId219" Type="http://schemas.openxmlformats.org/officeDocument/2006/relationships/hyperlink" Target="https://onedev.ge/ru/stayrent" TargetMode="External"/><Relationship Id="rId230" Type="http://schemas.openxmlformats.org/officeDocument/2006/relationships/hyperlink" Target="https://www.youtube.com/watch?v=lB70a-MsUm8&amp;t" TargetMode="External"/><Relationship Id="rId251" Type="http://schemas.openxmlformats.org/officeDocument/2006/relationships/hyperlink" Target="https://docs.google.com/spreadsheets/d/1EJY1LwT1EdysFP93bg0kkUGJxK-9vTMR/edit?usp=drive_link&amp;ouid=116084675561114154810&amp;rtpof=true&amp;sd=true" TargetMode="External"/><Relationship Id="rId25" Type="http://schemas.openxmlformats.org/officeDocument/2006/relationships/hyperlink" Target="https://drive.google.com/drive/folders/1-E9heP4-OZrOuKdT4GYOPxSL4OIc5JKc?usp=drive_link" TargetMode="External"/><Relationship Id="rId46" Type="http://schemas.openxmlformats.org/officeDocument/2006/relationships/hyperlink" Target="https://yandex.com.ge/maps/10278/batumi/?ll=41.617534%2C41.640429&amp;mode=whatshere&amp;whatshere%5Bpoint%5D=41.617982%2C41.640672&amp;whatshere%5Bzoom%5D=18.33&amp;z=18.33" TargetMode="External"/><Relationship Id="rId67" Type="http://schemas.openxmlformats.org/officeDocument/2006/relationships/hyperlink" Target="https://eltgroup.ge/en/Project/19/index.html" TargetMode="External"/><Relationship Id="rId272" Type="http://schemas.openxmlformats.org/officeDocument/2006/relationships/hyperlink" Target="https://studio.youtube.com/video/uerbRLw0XBs/edit" TargetMode="External"/><Relationship Id="rId293" Type="http://schemas.openxmlformats.org/officeDocument/2006/relationships/hyperlink" Target="https://yandex.com.ge/maps/-/CHRHUQof" TargetMode="External"/><Relationship Id="rId307" Type="http://schemas.openxmlformats.org/officeDocument/2006/relationships/hyperlink" Target="https://historyhome.ge/" TargetMode="External"/><Relationship Id="rId328" Type="http://schemas.openxmlformats.org/officeDocument/2006/relationships/hyperlink" Target="https://yandex.com.ge/maps/?ll=41.782374%2C41.940943&amp;mode=whatshere&amp;whatshere%5Bpoint%5D=41.766236%2C41.944452&amp;whatshere%5Bzoom%5D=14.6&amp;z=14.6" TargetMode="External"/><Relationship Id="rId88" Type="http://schemas.openxmlformats.org/officeDocument/2006/relationships/hyperlink" Target="https://drive.google.com/drive/folders/1oGf7Tpzwx8maeOC2fYpgMUa4mWCc7NNW?usp=drive_link" TargetMode="External"/><Relationship Id="rId111" Type="http://schemas.openxmlformats.org/officeDocument/2006/relationships/hyperlink" Target="https://chat.whatsapp.com/EtFZ0JZjpbgE1l9qWDYYDL" TargetMode="External"/><Relationship Id="rId132" Type="http://schemas.openxmlformats.org/officeDocument/2006/relationships/hyperlink" Target="https://leontowers.com/" TargetMode="External"/><Relationship Id="rId153" Type="http://schemas.openxmlformats.org/officeDocument/2006/relationships/hyperlink" Target="https://yandex.com.ge/maps/122054/autonomous-republic-of-adjara/geo/4859188576/?ll=41.754183%2C41.746550&amp;z=15.02" TargetMode="External"/><Relationship Id="rId174" Type="http://schemas.openxmlformats.org/officeDocument/2006/relationships/hyperlink" Target="https://docs.google.com/spreadsheets/d/10bKfvIoge8Pp1Uo2Sgi-z4lc6jyQLPsngH8oCvHDTKU/edit?sharingaction=ownershiptransfer&amp;gid=1849296446" TargetMode="External"/><Relationship Id="rId195" Type="http://schemas.openxmlformats.org/officeDocument/2006/relationships/hyperlink" Target="https://nextgroup.ge/ru/next-magnolia?srsltid=AfmBOor4ial3HEBMnVb5MjyWnOP3l-PLhs9ispwRF9Ca8P2IaDHQWO2Y" TargetMode="External"/><Relationship Id="rId209" Type="http://schemas.openxmlformats.org/officeDocument/2006/relationships/hyperlink" Target="https://chat.whatsapp.com/C5JcNEidZx283hvJ3SZqsZ" TargetMode="External"/><Relationship Id="rId220" Type="http://schemas.openxmlformats.org/officeDocument/2006/relationships/hyperlink" Target="https://chat.whatsapp.com/GFoHOUmWblC2UsPaZYkZSV" TargetMode="External"/><Relationship Id="rId241" Type="http://schemas.openxmlformats.org/officeDocument/2006/relationships/hyperlink" Target="https://lafamilia.ge/" TargetMode="External"/><Relationship Id="rId15" Type="http://schemas.openxmlformats.org/officeDocument/2006/relationships/hyperlink" Target="https://drive.google.com/drive/folders/17N2IYQROla5XrqKgMr9TW8cbn8tBLeZN?usp=drive_link" TargetMode="External"/><Relationship Id="rId36" Type="http://schemas.openxmlformats.org/officeDocument/2006/relationships/hyperlink" Target="https://www.youtube.com/watch?v=WuHJIGoyyB8" TargetMode="External"/><Relationship Id="rId57" Type="http://schemas.openxmlformats.org/officeDocument/2006/relationships/hyperlink" Target="https://eltgroup.ge/en/" TargetMode="External"/><Relationship Id="rId262" Type="http://schemas.openxmlformats.org/officeDocument/2006/relationships/hyperlink" Target="https://chat.whatsapp.com/D6EMnL1xjMf7kNuSwytaHb" TargetMode="External"/><Relationship Id="rId283" Type="http://schemas.openxmlformats.org/officeDocument/2006/relationships/hyperlink" Target="https://youtu.be/e1gVyMHc3ts" TargetMode="External"/><Relationship Id="rId318" Type="http://schemas.openxmlformats.org/officeDocument/2006/relationships/hyperlink" Target="https://youtu.be/AV2piG7ooxk" TargetMode="External"/><Relationship Id="rId339" Type="http://schemas.openxmlformats.org/officeDocument/2006/relationships/hyperlink" Target="https://avangardseaside.com/?lang=ru" TargetMode="External"/><Relationship Id="rId78" Type="http://schemas.openxmlformats.org/officeDocument/2006/relationships/hyperlink" Target="https://www.google.com/maps/place/Krtsanisi/@41.6130897,44.8869715,14z/data=!3m1!4b1!4m6!3m5!1s0x40440f52e2b9dd73:0x4b90029f8bc47431!8m2!3d41.6134148!4d44.9083572!16s%2Fg%2F11clsytw9f?entry=ttu&amp;g_ep=EgoyMDI2MDIwMy4wIKXMDSoASAFQAw%3D%3D" TargetMode="External"/><Relationship Id="rId99" Type="http://schemas.openxmlformats.org/officeDocument/2006/relationships/hyperlink" Target="https://yandex.com.ge/maps/-/CDvoEN~U" TargetMode="External"/><Relationship Id="rId101" Type="http://schemas.openxmlformats.org/officeDocument/2006/relationships/hyperlink" Target="https://guruholding.ge/project_subtropical" TargetMode="External"/><Relationship Id="rId122" Type="http://schemas.openxmlformats.org/officeDocument/2006/relationships/hyperlink" Target="https://chat.whatsapp.com/EnczMzRjXXVAkaJOjXtZkY" TargetMode="External"/><Relationship Id="rId143" Type="http://schemas.openxmlformats.org/officeDocument/2006/relationships/hyperlink" Target="https://chat.whatsapp.com/LeYPppl5o5iLCVpIQ5aLVa" TargetMode="External"/><Relationship Id="rId164" Type="http://schemas.openxmlformats.org/officeDocument/2006/relationships/hyperlink" Target="https://docs.google.com/spreadsheets/d/1JJGichoteZpV1vU3k7KlvEZXMVrjIXSuQ-DJo4dKNJk/edit?gid=1612423773" TargetMode="External"/><Relationship Id="rId185" Type="http://schemas.openxmlformats.org/officeDocument/2006/relationships/hyperlink" Target="https://mziurigardens.ge/en/home" TargetMode="External"/><Relationship Id="rId9" Type="http://schemas.openxmlformats.org/officeDocument/2006/relationships/hyperlink" Target="https://drive.google.com/drive/folders/1Z4JorqufxQWPrKgiE1h_T7Z60gZvsFYC?usp=drive_link" TargetMode="External"/><Relationship Id="rId210" Type="http://schemas.openxmlformats.org/officeDocument/2006/relationships/hyperlink" Target="https://drive.google.com/drive/folders/14ZCS_7pYWpj7VY0cme_MQqW4yi-BwsQm?usp=drive_link" TargetMode="External"/><Relationship Id="rId26" Type="http://schemas.openxmlformats.org/officeDocument/2006/relationships/hyperlink" Target="https://islandambassadori.com/?utm_source=google+ads&amp;utm_medium=cpc&amp;utm_campaign=branded_search_eng&amp;gad_source=1&amp;gad_campaignid=22164371188&amp;gbraid=0AAAAA-pqvSdHGxAKCGgjU8JP_FG9gwKt4&amp;gclid=Cj0KCQjwl5jHBhDHARIsAB0YqjyBbb_7rdufXycQnDn1nf7S1ap_I7CelTKUI3pWgOIECQtv9e79BAAaApsKEALw_wcB" TargetMode="External"/><Relationship Id="rId231" Type="http://schemas.openxmlformats.org/officeDocument/2006/relationships/hyperlink" Target="https://chat.whatsapp.com/EIfZeudMEgY6fTdHkjdVfp" TargetMode="External"/><Relationship Id="rId252" Type="http://schemas.openxmlformats.org/officeDocument/2006/relationships/hyperlink" Target="https://sunwaysuites.ge/" TargetMode="External"/><Relationship Id="rId273" Type="http://schemas.openxmlformats.org/officeDocument/2006/relationships/hyperlink" Target="https://tg.ge/project/MzianiValley" TargetMode="External"/><Relationship Id="rId294" Type="http://schemas.openxmlformats.org/officeDocument/2006/relationships/hyperlink" Target="https://centralmg.ge/ge/piazza/apartments" TargetMode="External"/><Relationship Id="rId308" Type="http://schemas.openxmlformats.org/officeDocument/2006/relationships/hyperlink" Target="https://chat.whatsapp.com/GX0sIiyWg2eKGAKOftpUKi?mode=ems_copy_c" TargetMode="External"/><Relationship Id="rId329" Type="http://schemas.openxmlformats.org/officeDocument/2006/relationships/hyperlink" Target="https://drive.google.com/drive/folders/1QE9AONi-VtexAvaCtnZ1drUifCT-F3nN" TargetMode="External"/><Relationship Id="rId47" Type="http://schemas.openxmlformats.org/officeDocument/2006/relationships/hyperlink" Target="https://drive.google.com/drive/folders/113AVp3HKbSoFsWSIJy7lWo8zAujW43xj?usp=drive_link" TargetMode="External"/><Relationship Id="rId68" Type="http://schemas.openxmlformats.org/officeDocument/2006/relationships/hyperlink" Target="https://chat.whatsapp.com/DgQeciiQQfLL8OMent0HWw" TargetMode="External"/><Relationship Id="rId89" Type="http://schemas.openxmlformats.org/officeDocument/2006/relationships/hyperlink" Target="https://drive.google.com/file/d/1bqWQeB_kmqcPxmqfsKMTShfooPUlBj11/view?usp=drive_link" TargetMode="External"/><Relationship Id="rId112" Type="http://schemas.openxmlformats.org/officeDocument/2006/relationships/hyperlink" Target="https://yandex.com.ge/maps/10278/batumi/geo/1622003649/?ll=41.566391%2C41.558333&amp;z=14" TargetMode="External"/><Relationship Id="rId133" Type="http://schemas.openxmlformats.org/officeDocument/2006/relationships/hyperlink" Target="https://chat.whatsapp.com/F5ei7AcINCcG4hQ1Zx3tn2" TargetMode="External"/><Relationship Id="rId154" Type="http://schemas.openxmlformats.org/officeDocument/2006/relationships/hyperlink" Target="https://drive.google.com/drive/folders/1p6khe4xJHlCUQ09u71rtiXYHLhmCGG_t?usp=share_link" TargetMode="External"/><Relationship Id="rId175" Type="http://schemas.openxmlformats.org/officeDocument/2006/relationships/hyperlink" Target="https://www.metropol.ge/en/projects/kavtaradze" TargetMode="External"/><Relationship Id="rId340" Type="http://schemas.openxmlformats.org/officeDocument/2006/relationships/hyperlink" Target="https://drive.google.com/drive/folders/1HMEvDTt1q48w6-QC1lWlUgx2NjHnsz0l" TargetMode="External"/><Relationship Id="rId196" Type="http://schemas.openxmlformats.org/officeDocument/2006/relationships/hyperlink" Target="https://drive.google.com/drive/folders/1IIqn7KJgzeqQDdLDZUEjuJ_FQSlEvcPU?usp=drive_link" TargetMode="External"/><Relationship Id="rId200" Type="http://schemas.openxmlformats.org/officeDocument/2006/relationships/hyperlink" Target="https://chat.whatsapp.com/IttZwiHWmGnINqMMkh2fGb" TargetMode="External"/><Relationship Id="rId16" Type="http://schemas.openxmlformats.org/officeDocument/2006/relationships/hyperlink" Target="https://www.google.com/maps/place/Alliance+Privilege/data=!4m2!3m1!1s0x0:0x3d3b08bbdc82f822?sa=X&amp;ved=1t:2428&amp;ictx=111" TargetMode="External"/><Relationship Id="rId221" Type="http://schemas.openxmlformats.org/officeDocument/2006/relationships/hyperlink" Target="https://drive.google.com/drive/folders/1VZOYG0tOnYqxp3Zg3ClkPi-Qclkjjt1-?usp=drive_link" TargetMode="External"/><Relationship Id="rId242" Type="http://schemas.openxmlformats.org/officeDocument/2006/relationships/hyperlink" Target="https://chat.whatsapp.com/CEy2y9sHAwe77oeNtPqjCe" TargetMode="External"/><Relationship Id="rId263" Type="http://schemas.openxmlformats.org/officeDocument/2006/relationships/hyperlink" Target="https://drive.google.com/drive/folders/1BrVHt3GYshUKvi94uYpvBBTpfDJXPN0q?usp=drive_link" TargetMode="External"/><Relationship Id="rId284" Type="http://schemas.openxmlformats.org/officeDocument/2006/relationships/hyperlink" Target="https://tg.ge/project/Panorama" TargetMode="External"/><Relationship Id="rId319" Type="http://schemas.openxmlformats.org/officeDocument/2006/relationships/hyperlink" Target="https://chat.whatsapp.com/JzKXzyt6gX5KmpOp6HkqVe?mode=ems_share_c" TargetMode="External"/><Relationship Id="rId37" Type="http://schemas.openxmlformats.org/officeDocument/2006/relationships/hyperlink" Target="https://www.intouristresidence.ge/?lang=en" TargetMode="External"/><Relationship Id="rId58" Type="http://schemas.openxmlformats.org/officeDocument/2006/relationships/hyperlink" Target="https://chat.whatsapp.com/LBREYkEnCkBH8U1VylXzH6" TargetMode="External"/><Relationship Id="rId79" Type="http://schemas.openxmlformats.org/officeDocument/2006/relationships/hyperlink" Target="https://batumiisland.com/en" TargetMode="External"/><Relationship Id="rId102" Type="http://schemas.openxmlformats.org/officeDocument/2006/relationships/hyperlink" Target="https://chat.whatsapp.com/DoMARVEf679FtxGgMb94An" TargetMode="External"/><Relationship Id="rId123" Type="http://schemas.openxmlformats.org/officeDocument/2006/relationships/hyperlink" Target="https://drive.google.com/drive/folders/1S7cn-YUYcIWdrr0IcL9sOI6QUTDtS-na?usp=drive_link" TargetMode="External"/><Relationship Id="rId144" Type="http://schemas.openxmlformats.org/officeDocument/2006/relationships/hyperlink" Target="https://drive.google.com/drive/folders/1zCtxnjzdR3r02V7wJq1zntv0LXOrG390?usp=drive_link" TargetMode="External"/><Relationship Id="rId330" Type="http://schemas.openxmlformats.org/officeDocument/2006/relationships/hyperlink" Target="https://andegroup.ge/ru/ande-metropolis/" TargetMode="External"/><Relationship Id="rId90" Type="http://schemas.openxmlformats.org/officeDocument/2006/relationships/hyperlink" Target="https://greenside.ge/" TargetMode="External"/><Relationship Id="rId165" Type="http://schemas.openxmlformats.org/officeDocument/2006/relationships/hyperlink" Target="https://www.metropol.ge/en/projects/batumi-oval-o1" TargetMode="External"/><Relationship Id="rId186" Type="http://schemas.openxmlformats.org/officeDocument/2006/relationships/hyperlink" Target="https://chat.whatsapp.com/DH0Kh2NXvVT453OPwpKzPI" TargetMode="External"/><Relationship Id="rId211" Type="http://schemas.openxmlformats.org/officeDocument/2006/relationships/hyperlink" Target="https://yandex.com.ge/maps/10278/batumi/?ll=41.605285%2C41.626556&amp;mode=whatshere&amp;whatshere%5Bpoint%5D=41.605233%2C41.626459&amp;whatshere%5Bzoom%5D=18.53&amp;z=18.53" TargetMode="External"/><Relationship Id="rId232" Type="http://schemas.openxmlformats.org/officeDocument/2006/relationships/hyperlink" Target="https://drive.google.com/drive/folders/1Eaj06aEefs2bYkZ7ifLsY-P8B4hT3nAe?usp=drive_link" TargetMode="External"/><Relationship Id="rId253" Type="http://schemas.openxmlformats.org/officeDocument/2006/relationships/hyperlink" Target="https://chat.whatsapp.com/Kmr5ETSziafIfbjSO1GI3l" TargetMode="External"/><Relationship Id="rId274" Type="http://schemas.openxmlformats.org/officeDocument/2006/relationships/hyperlink" Target="https://drive.google.com/drive/folders/1Xu3fyDmE9220VB4qOevs1aQd2sWhnr4S?usp=drive_link" TargetMode="External"/><Relationship Id="rId295" Type="http://schemas.openxmlformats.org/officeDocument/2006/relationships/hyperlink" Target="https://www.youtube.com/watch?v=o1WqrJ9AU04" TargetMode="External"/><Relationship Id="rId309" Type="http://schemas.openxmlformats.org/officeDocument/2006/relationships/hyperlink" Target="https://drive.google.com/drive/folders/1DGAUbl4eAX_lLo6D8ToXohMhUIwq8Izv?usp=drive_link" TargetMode="External"/><Relationship Id="rId27" Type="http://schemas.openxmlformats.org/officeDocument/2006/relationships/hyperlink" Target="https://chat.whatsapp.com/FpeFRA95oCR3cY9DuiVx5e" TargetMode="External"/><Relationship Id="rId48" Type="http://schemas.openxmlformats.org/officeDocument/2006/relationships/hyperlink" Target="https://www.youtube.com/watch?v=d_6UgH3z-ac" TargetMode="External"/><Relationship Id="rId69" Type="http://schemas.openxmlformats.org/officeDocument/2006/relationships/hyperlink" Target="https://drive.google.com/drive/folders/1Z9rXAawzSHPmOxTmJl2ol9-yYuyhbpuW?usp=drive_link" TargetMode="External"/><Relationship Id="rId113" Type="http://schemas.openxmlformats.org/officeDocument/2006/relationships/hyperlink" Target="https://flatshow.property/montemar" TargetMode="External"/><Relationship Id="rId134" Type="http://schemas.openxmlformats.org/officeDocument/2006/relationships/hyperlink" Target="https://drive.google.com/drive/folders/11ka6ojzlYjlqT89z4w-vU2tg1zT03MW2?usp=drive_link" TargetMode="External"/><Relationship Id="rId320" Type="http://schemas.openxmlformats.org/officeDocument/2006/relationships/hyperlink" Target="https://drive.google.com/drive/folders/108eVzNKIYyFJ1ysFHgmBvDAYWK5c4XQZ?usp=drive_link" TargetMode="External"/><Relationship Id="rId80" Type="http://schemas.openxmlformats.org/officeDocument/2006/relationships/hyperlink" Target="https://chat.whatsapp.com/Bto0lXzAGJ6ASIRFuKX0Nz" TargetMode="External"/><Relationship Id="rId155" Type="http://schemas.openxmlformats.org/officeDocument/2006/relationships/hyperlink" Target="https://lisi.ge/" TargetMode="External"/><Relationship Id="rId176" Type="http://schemas.openxmlformats.org/officeDocument/2006/relationships/hyperlink" Target="https://chat.whatsapp.com/DMilYoclMCm9e31O6oPwIa" TargetMode="External"/><Relationship Id="rId197" Type="http://schemas.openxmlformats.org/officeDocument/2006/relationships/hyperlink" Target="https://yandex.com.ge/maps/10278/batumi/house/YEgYcAZgTkIFQFprfXpzdXhhZg==/?ll=41.610772%2C41.624422&amp;z=16" TargetMode="External"/><Relationship Id="rId341" Type="http://schemas.openxmlformats.org/officeDocument/2006/relationships/hyperlink" Target="https://yandex.com.ge/maps/org/avangard_seaside_area/31910780524/?ll=41.593992%2C41.620122&amp;z=16" TargetMode="External"/><Relationship Id="rId201" Type="http://schemas.openxmlformats.org/officeDocument/2006/relationships/hyperlink" Target="https://drive.google.com/drive/folders/1Z86oxRou_NjMfyUPdSrvwGo7uY2cFd6d?usp=drive_link" TargetMode="External"/><Relationship Id="rId222" Type="http://schemas.openxmlformats.org/officeDocument/2006/relationships/hyperlink" Target="https://yandex.com.ge/maps/-/CDV~mOz0" TargetMode="External"/><Relationship Id="rId243" Type="http://schemas.openxmlformats.org/officeDocument/2006/relationships/hyperlink" Target="https://drive.google.com/drive/folders/1DpeNwp1dMzQDfaG8dJj0MMLz9UsEosW7?usp=drive_link" TargetMode="External"/><Relationship Id="rId264" Type="http://schemas.openxmlformats.org/officeDocument/2006/relationships/hyperlink" Target="https://yandex.com.ge/maps/-/CDxOjD35" TargetMode="External"/><Relationship Id="rId285" Type="http://schemas.openxmlformats.org/officeDocument/2006/relationships/hyperlink" Target="https://chat.whatsapp.com/KMjWa0hF1Uo8gozq7nenMd" TargetMode="External"/><Relationship Id="rId17" Type="http://schemas.openxmlformats.org/officeDocument/2006/relationships/hyperlink" Target="https://ally.ge/auth/login" TargetMode="External"/><Relationship Id="rId38" Type="http://schemas.openxmlformats.org/officeDocument/2006/relationships/hyperlink" Target="https://chat.whatsapp.com/GlpxB5ynQBjEB6QG0XVqhp" TargetMode="External"/><Relationship Id="rId59" Type="http://schemas.openxmlformats.org/officeDocument/2006/relationships/hyperlink" Target="https://drive.google.com/drive/folders/1Yu5sqyGBWICqVVIM7nlwgkAph4BW8Xt9?usp=drive_link" TargetMode="External"/><Relationship Id="rId103" Type="http://schemas.openxmlformats.org/officeDocument/2006/relationships/hyperlink" Target="https://drive.google.com/drive/folders/1v5k1aPYD9IrfiymKzJS8Y-pA3xVrpNds?usp=drive_link" TargetMode="External"/><Relationship Id="rId124" Type="http://schemas.openxmlformats.org/officeDocument/2006/relationships/hyperlink" Target="https://yandex.com/maps/-/CDxLiX~W" TargetMode="External"/><Relationship Id="rId310" Type="http://schemas.openxmlformats.org/officeDocument/2006/relationships/hyperlink" Target="https://maps.app.goo.gl/J3xHZyKdPbDykgT86" TargetMode="External"/><Relationship Id="rId70" Type="http://schemas.openxmlformats.org/officeDocument/2006/relationships/hyperlink" Target="https://yandex.com/maps/-/CHQZuIOt" TargetMode="External"/><Relationship Id="rId91" Type="http://schemas.openxmlformats.org/officeDocument/2006/relationships/hyperlink" Target="https://chat.whatsapp.com/IGywBUQlhd95CnjfKXikuA" TargetMode="External"/><Relationship Id="rId145" Type="http://schemas.openxmlformats.org/officeDocument/2006/relationships/hyperlink" Target="https://yandex.com.ge/maps/10278/batumi/house/YEgYcAZoSkQPQFprfXpyeX9mZw==/?ll=41.618318%2C41.638353&amp;z=17.13" TargetMode="External"/><Relationship Id="rId166" Type="http://schemas.openxmlformats.org/officeDocument/2006/relationships/hyperlink" Target="https://chat.whatsapp.com/Bb35LMHwDcTDGqDHxFS6fD" TargetMode="External"/><Relationship Id="rId187" Type="http://schemas.openxmlformats.org/officeDocument/2006/relationships/hyperlink" Target="https://drive.google.com/drive/folders/1NtnjEL2DfTDSYNPYfL3MHKWJ-mQweO0E?usp=drive_link" TargetMode="External"/><Relationship Id="rId331" Type="http://schemas.openxmlformats.org/officeDocument/2006/relationships/hyperlink" Target="https://chat.whatsapp.com/FEY35HV9sS9Kh1iXniOJnv" TargetMode="External"/><Relationship Id="rId1" Type="http://schemas.openxmlformats.org/officeDocument/2006/relationships/hyperlink" Target="https://centropolis.ge/ru/" TargetMode="External"/><Relationship Id="rId212" Type="http://schemas.openxmlformats.org/officeDocument/2006/relationships/hyperlink" Target="https://drive.google.com/drive/folders/1nob2uyakornEPcPvFtr1wCS6PCnfbxZz" TargetMode="External"/><Relationship Id="rId233" Type="http://schemas.openxmlformats.org/officeDocument/2006/relationships/hyperlink" Target="https://maps.app.goo.gl/cLJZoy2wr9tox75B6" TargetMode="External"/><Relationship Id="rId254" Type="http://schemas.openxmlformats.org/officeDocument/2006/relationships/hyperlink" Target="https://drive.google.com/drive/folders/1sWzD6WDVIJSeeBBAC4t5Ske1ReYYmA-7?usp=drive_link" TargetMode="External"/><Relationship Id="rId28" Type="http://schemas.openxmlformats.org/officeDocument/2006/relationships/hyperlink" Target="https://drive.google.com/drive/folders/1KC4G48fHbXEpwjbW9mlJ8vrjVRQQ-ywt?usp=drive_link" TargetMode="External"/><Relationship Id="rId49" Type="http://schemas.openxmlformats.org/officeDocument/2006/relationships/hyperlink" Target="https://drive.google.com/drive/u/1/folders/1417_rV2lY6dlhDh-uSFvjBTJzzgCyw_z" TargetMode="External"/><Relationship Id="rId114" Type="http://schemas.openxmlformats.org/officeDocument/2006/relationships/hyperlink" Target="https://lagoon-resort.ge/" TargetMode="External"/><Relationship Id="rId275" Type="http://schemas.openxmlformats.org/officeDocument/2006/relationships/hyperlink" Target="https://yandex.com/maps/-/CHuW5InI" TargetMode="External"/><Relationship Id="rId296" Type="http://schemas.openxmlformats.org/officeDocument/2006/relationships/hyperlink" Target="https://pontus.ge/ru" TargetMode="External"/><Relationship Id="rId300" Type="http://schemas.openxmlformats.org/officeDocument/2006/relationships/hyperlink" Target="https://drive.google.com/drive/folders/1plvAPco_mlEIp99qtcFW9woTkOlpAARh?usp=drive_link" TargetMode="External"/><Relationship Id="rId60" Type="http://schemas.openxmlformats.org/officeDocument/2006/relationships/hyperlink" Target="https://yandex.com.ge/maps/10277/tbilisi/?ll=44.837908%2C41.677723&amp;mode=whatshere&amp;whatshere%5Bpoint%5D=44.838957%2C41.678406&amp;whatshere%5Bzoom%5D=17.13&amp;z=17.13" TargetMode="External"/><Relationship Id="rId81" Type="http://schemas.openxmlformats.org/officeDocument/2006/relationships/hyperlink" Target="https://drive.google.com/drive/folders/17sZqXsY_JrBCa-qtfsaBuMVxgHULO6Zd?usp=drive_link" TargetMode="External"/><Relationship Id="rId135" Type="http://schemas.openxmlformats.org/officeDocument/2006/relationships/hyperlink" Target="https://yandex.com.ge/maps/-/CHF8JOkc" TargetMode="External"/><Relationship Id="rId156" Type="http://schemas.openxmlformats.org/officeDocument/2006/relationships/hyperlink" Target="https://chat.whatsapp.com/C1bMwG4LxNH6pQsLeJJb1X" TargetMode="External"/><Relationship Id="rId177" Type="http://schemas.openxmlformats.org/officeDocument/2006/relationships/hyperlink" Target="https://drive.google.com/drive/folders/1U8GRoTJA8h9HpxggCpinEDYHe6vfi70z?usp=drive_link" TargetMode="External"/><Relationship Id="rId198" Type="http://schemas.openxmlformats.org/officeDocument/2006/relationships/hyperlink" Target="https://flatshow.property/Next_Magnolia" TargetMode="External"/><Relationship Id="rId321" Type="http://schemas.openxmlformats.org/officeDocument/2006/relationships/hyperlink" Target="https://share.google/F8RhKnViA3dej5esz" TargetMode="External"/><Relationship Id="rId342" Type="http://schemas.openxmlformats.org/officeDocument/2006/relationships/hyperlink" Target="https://drive.google.com/drive/folders/1YOdEqDDWLGRMkICOMf7EuVdQwnjiua0U?usp=drive_link" TargetMode="External"/><Relationship Id="rId202" Type="http://schemas.openxmlformats.org/officeDocument/2006/relationships/hyperlink" Target="https://yandex.com.ge/maps/-/CDulNT2o" TargetMode="External"/><Relationship Id="rId223" Type="http://schemas.openxmlformats.org/officeDocument/2006/relationships/hyperlink" Target="https://dev1.flat.show/spinners/StayRent" TargetMode="External"/><Relationship Id="rId244" Type="http://schemas.openxmlformats.org/officeDocument/2006/relationships/hyperlink" Target="https://yandex.com.ge/maps/-/CDRHqFLW" TargetMode="External"/><Relationship Id="rId18" Type="http://schemas.openxmlformats.org/officeDocument/2006/relationships/hyperlink" Target="https://docs.google.com/document/d/1AhzniXrhZePHg0aLN24H_YAHIWdn5wxJIFljWwNbutg/edit?usp=share_link" TargetMode="External"/><Relationship Id="rId39" Type="http://schemas.openxmlformats.org/officeDocument/2006/relationships/hyperlink" Target="https://drive.google.com/drive/folders/1XB1upPL445r74DQPnW5qJQ4mer51D7_M?usp=drive_link" TargetMode="External"/><Relationship Id="rId265" Type="http://schemas.openxmlformats.org/officeDocument/2006/relationships/hyperlink" Target="https://drive.google.com/drive/folders/139ihZjdrb3gATeHTd0kWxYTxlMcIdtPh" TargetMode="External"/><Relationship Id="rId286" Type="http://schemas.openxmlformats.org/officeDocument/2006/relationships/hyperlink" Target="https://drive.google.com/drive/folders/1_rNgbH_gX2U1CqOFlljuwcaiZ-Dz-vIT?usp=drive_link" TargetMode="External"/><Relationship Id="rId50" Type="http://schemas.openxmlformats.org/officeDocument/2006/relationships/hyperlink" Target="https://www.google.com/maps/place/Le+M%C3%A9ridien+Batumi/data=!4m2!3m1!1s0x0:0xfe44389e13969b8c?sa=X&amp;ved=1t:2428&amp;ictx=111" TargetMode="External"/><Relationship Id="rId104" Type="http://schemas.openxmlformats.org/officeDocument/2006/relationships/hyperlink" Target="https://yandex.ru/maps/-/CLdgZAiT" TargetMode="External"/><Relationship Id="rId125" Type="http://schemas.openxmlformats.org/officeDocument/2006/relationships/hyperlink" Target="https://ikonpartners.bitrix24.site/ru/" TargetMode="External"/><Relationship Id="rId146" Type="http://schemas.openxmlformats.org/officeDocument/2006/relationships/hyperlink" Target="https://drive.google.com/drive/folders/1ICAQMI-UkczWmedBJ_mfJgZTP3y6f-Fg?usp=drive_link" TargetMode="External"/><Relationship Id="rId167" Type="http://schemas.openxmlformats.org/officeDocument/2006/relationships/hyperlink" Target="https://drive.google.com/drive/folders/1vOUIU-rlMz-QUM_UV6vupBSdnW-spFms?usp=drive_link" TargetMode="External"/><Relationship Id="rId188" Type="http://schemas.openxmlformats.org/officeDocument/2006/relationships/hyperlink" Target="https://yandex.com.ge/maps/10278/batumi/house/YEgYcA5jTkIAQFprfXp2cnpmYQ==/?ll=41.693777%2C41.673655&amp;z=17.13" TargetMode="External"/><Relationship Id="rId311" Type="http://schemas.openxmlformats.org/officeDocument/2006/relationships/hyperlink" Target="https://orangesales.ge/cabinet/applications" TargetMode="External"/><Relationship Id="rId332" Type="http://schemas.openxmlformats.org/officeDocument/2006/relationships/hyperlink" Target="https://drive.google.com/drive/folders/16QIBBflSCj3bHcb7A90wtznJG9rfv1eO?usp=drive_link" TargetMode="External"/><Relationship Id="rId71" Type="http://schemas.openxmlformats.org/officeDocument/2006/relationships/hyperlink" Target="https://drive.google.com/drive/folders/1Jaj0kNOeWv3cqPtaaYivpHWtKtyzlVGD?usp=drive_link" TargetMode="External"/><Relationship Id="rId92" Type="http://schemas.openxmlformats.org/officeDocument/2006/relationships/hyperlink" Target="https://drive.google.com/drive/folders/1SiYnr0OsSTlMcOUH4UnyJXPumygXk4oi?usp=drive_link" TargetMode="External"/><Relationship Id="rId213" Type="http://schemas.openxmlformats.org/officeDocument/2006/relationships/hyperlink" Target="https://onedev.ge/ru/one" TargetMode="External"/><Relationship Id="rId234" Type="http://schemas.openxmlformats.org/officeDocument/2006/relationships/hyperlink" Target="https://sportcity-new-onedev.lovable.app/" TargetMode="External"/><Relationship Id="rId2" Type="http://schemas.openxmlformats.org/officeDocument/2006/relationships/hyperlink" Target="https://chat.whatsapp.com/Dh8s7x8wQilKELYOcufnYt" TargetMode="External"/><Relationship Id="rId29" Type="http://schemas.openxmlformats.org/officeDocument/2006/relationships/hyperlink" Target="https://www.google.com/maps/place/Ambassadori+Island+Batumi/@41.65044,41.665955,15z/data=!4m6!3m5!1s0x406787f260b61127:0x78b5507d8e2d173b!8m2!3d41.6504405!4d41.6659546!16s%2Fg%2F11w9svlskg?entry=ttu&amp;g_ep=EgoyMDI1MDkxNy4wIKXMDSoASAFQAw%3D%3D" TargetMode="External"/><Relationship Id="rId255" Type="http://schemas.openxmlformats.org/officeDocument/2006/relationships/hyperlink" Target="https://yandex.com.ge/maps/-/CHVhnDmM" TargetMode="External"/><Relationship Id="rId276" Type="http://schemas.openxmlformats.org/officeDocument/2006/relationships/hyperlink" Target="https://drive.google.com/drive/folders/1Lkw5Mm0heDC7d38Ue4j4jKDJ72Nrqo2h" TargetMode="External"/><Relationship Id="rId297" Type="http://schemas.openxmlformats.org/officeDocument/2006/relationships/hyperlink" Target="https://chat.whatsapp.com/BlMXAwwk0SW0hGk1zRovks" TargetMode="External"/><Relationship Id="rId40" Type="http://schemas.openxmlformats.org/officeDocument/2006/relationships/hyperlink" Target="https://yandex.com.ge/maps/10278/batumi/?ll=41.617534%2C41.640429&amp;mode=whatshere&amp;whatshere%5Bpoint%5D=41.617982%2C41.640672&amp;whatshere%5Bzoom%5D=18.33&amp;z=18.33" TargetMode="External"/><Relationship Id="rId115" Type="http://schemas.openxmlformats.org/officeDocument/2006/relationships/hyperlink" Target="https://chat.whatsapp.com/EH3mV3GNeJfIj7EZzUfeMT" TargetMode="External"/><Relationship Id="rId136" Type="http://schemas.openxmlformats.org/officeDocument/2006/relationships/hyperlink" Target="https://drive.google.com/drive/folders/1jPwCi4aFHlovg0kGQW9PqlUe0ShKQZDI?usp=drive_link" TargetMode="External"/><Relationship Id="rId157" Type="http://schemas.openxmlformats.org/officeDocument/2006/relationships/hyperlink" Target="https://drive.google.com/drive/folders/1SfoDuk4l09Q9cuRXmbslervxhDGf6yGG" TargetMode="External"/><Relationship Id="rId178" Type="http://schemas.openxmlformats.org/officeDocument/2006/relationships/hyperlink" Target="https://yandex.com/maps/-/CDtIRYnz" TargetMode="External"/><Relationship Id="rId301" Type="http://schemas.openxmlformats.org/officeDocument/2006/relationships/hyperlink" Target="https://red-rc.ge/en" TargetMode="External"/><Relationship Id="rId322" Type="http://schemas.openxmlformats.org/officeDocument/2006/relationships/hyperlink" Target="https://drive.google.com/drive/folders/1H3youmf1wApvqn8fnKWl5MrjFzwRWJuL?usp=drive_link" TargetMode="External"/><Relationship Id="rId61" Type="http://schemas.openxmlformats.org/officeDocument/2006/relationships/hyperlink" Target="https://drive.google.com/drive/folders/18HS_Gg1ux6JidzwXaU8mPxybyQhqW20t?usp=drive_link" TargetMode="External"/><Relationship Id="rId82" Type="http://schemas.openxmlformats.org/officeDocument/2006/relationships/hyperlink" Target="http://google.com/maps/place/Batumi+Island/data=!4m2!3m1!1s0x0:0xf17ab419aef28678?sa=X&amp;ved=1t:2428&amp;ictx=111" TargetMode="External"/><Relationship Id="rId199" Type="http://schemas.openxmlformats.org/officeDocument/2006/relationships/hyperlink" Target="https://nextgroup.ge/ru/next-collection?srsltid=AfmBOor4ial3HEBMnVb5MjyWnOP3l-PLhs9ispwRF9Ca8P2IaDHQWO2Y" TargetMode="External"/><Relationship Id="rId203" Type="http://schemas.openxmlformats.org/officeDocument/2006/relationships/hyperlink" Target="https://linktr.ee/Next.Apartmets" TargetMode="External"/><Relationship Id="rId19" Type="http://schemas.openxmlformats.org/officeDocument/2006/relationships/hyperlink" Target="https://alliance.ge/ru/projects/renaissance-by-alliance" TargetMode="External"/><Relationship Id="rId224" Type="http://schemas.openxmlformats.org/officeDocument/2006/relationships/hyperlink" Target="https://www.youtube.com/watch?v=lB70a-MsUm8&amp;t" TargetMode="External"/><Relationship Id="rId245" Type="http://schemas.openxmlformats.org/officeDocument/2006/relationships/hyperlink" Target="https://drive.google.com/file/d/1m1xyz_rHzUH3k7XAXmkm8unM4w6sDkHU/view?usp=drive_link" TargetMode="External"/><Relationship Id="rId266" Type="http://schemas.openxmlformats.org/officeDocument/2006/relationships/hyperlink" Target="https://studio.youtube.com/video/uerbRLw0XBs/edit" TargetMode="External"/><Relationship Id="rId287" Type="http://schemas.openxmlformats.org/officeDocument/2006/relationships/hyperlink" Target="https://yandex.com.ge/maps/10278/batumi/house/YEgYcABoSkwPQFprfXp0eHtibA==/?ll=41.681205%2C41.660439&amp;z=16.81" TargetMode="External"/><Relationship Id="rId30" Type="http://schemas.openxmlformats.org/officeDocument/2006/relationships/hyperlink" Target="https://broker.islandambassadori.com/" TargetMode="External"/><Relationship Id="rId105" Type="http://schemas.openxmlformats.org/officeDocument/2006/relationships/hyperlink" Target="https://drive.google.com/drive/folders/1SK7zwecjiQyxkuOLxaaNb4-wxP5VI79K?usp=drive_link" TargetMode="External"/><Relationship Id="rId126" Type="http://schemas.openxmlformats.org/officeDocument/2006/relationships/hyperlink" Target="https://kiwi-development.com/" TargetMode="External"/><Relationship Id="rId147" Type="http://schemas.openxmlformats.org/officeDocument/2006/relationships/hyperlink" Target="https://prime-residence.ge/" TargetMode="External"/><Relationship Id="rId168" Type="http://schemas.openxmlformats.org/officeDocument/2006/relationships/hyperlink" Target="https://yandex.com.ge/maps/10278/batumi/house/YEgYcAZnTEEBQFprfXpydnlmbA==/?ll=41.617545%2C41.637558&amp;z=17.13" TargetMode="External"/><Relationship Id="rId312" Type="http://schemas.openxmlformats.org/officeDocument/2006/relationships/hyperlink" Target="https://youtu.be/Man_6rrnftg" TargetMode="External"/><Relationship Id="rId333" Type="http://schemas.openxmlformats.org/officeDocument/2006/relationships/hyperlink" Target="https://www.google.com/maps?q=Ande+Metropolis,+Zgvispiri+10+/+Adlia+29,+Batumi+6000,+%D0%93%D1%80%D1%83%D0%B7%D0%B8%D1%8F&amp;ftid=0x40678547da0b4a55:0xe5514d202d290b10&amp;hl=ru-GE&amp;gl=ge&amp;entry=gps&amp;lucs=s2se&amp;g_ep=EgY1LjgxLjEYAEICVVM%3D&amp;shorturl=1" TargetMode="External"/><Relationship Id="rId51" Type="http://schemas.openxmlformats.org/officeDocument/2006/relationships/hyperlink" Target="https://drive.google.com/drive/u/0/folders/1exL95RWYPhPaabdLRI8Q4-Y4LEl_PFu1" TargetMode="External"/><Relationship Id="rId72" Type="http://schemas.openxmlformats.org/officeDocument/2006/relationships/hyperlink" Target="https://eltgroup.ge/ru/Project/20/index.html?gad_source=1&amp;gad_campaignid=22922203848&amp;gbraid=0AAAAACV3IBKppwk9eSOrlwyAC2aQvEAPP&amp;gclid=CjwKCAiA95fLBhBPEiwATXUsxAwoeDdtFq5NG2OZMOCyBCMbxNgaLI_wccvgYRpeLh4LXNsnUUZ3sRoC9ZYQAvD_BwE" TargetMode="External"/><Relationship Id="rId93" Type="http://schemas.openxmlformats.org/officeDocument/2006/relationships/hyperlink" Target="https://yandex.com.ge/maps/-/CDRJQEM6" TargetMode="External"/><Relationship Id="rId189" Type="http://schemas.openxmlformats.org/officeDocument/2006/relationships/hyperlink" Target="https://drive.google.com/drive/folders/1Qy3c4cbVLqZk-XmwEteGTNFytpYeh7P_" TargetMode="External"/><Relationship Id="rId3" Type="http://schemas.openxmlformats.org/officeDocument/2006/relationships/hyperlink" Target="https://drive.google.com/drive/folders/1xnTZb_UcBmQS0G4L_wwQQFtMbAza40y8?usp=sharing" TargetMode="External"/><Relationship Id="rId214" Type="http://schemas.openxmlformats.org/officeDocument/2006/relationships/hyperlink" Target="https://chat.whatsapp.com/DUw44o9XwVk8CRcrbsv1gy" TargetMode="External"/><Relationship Id="rId235" Type="http://schemas.openxmlformats.org/officeDocument/2006/relationships/hyperlink" Target="https://onedev.ge/ru/ramada" TargetMode="External"/><Relationship Id="rId256" Type="http://schemas.openxmlformats.org/officeDocument/2006/relationships/hyperlink" Target="https://drive.google.com/drive/folders/1TGV31gooF_X5oXf6bJ3tTY-k2WUu021q?usp=drive_link" TargetMode="External"/><Relationship Id="rId277" Type="http://schemas.openxmlformats.org/officeDocument/2006/relationships/hyperlink" Target="https://www.youtube.com/watch?v=o1WqrJ9AU04" TargetMode="External"/><Relationship Id="rId298" Type="http://schemas.openxmlformats.org/officeDocument/2006/relationships/hyperlink" Target="https://drive.google.com/drive/u/1/folders/1F-ocYcICbu2tddFZPMgkgohxtlqE20Rc" TargetMode="External"/><Relationship Id="rId116" Type="http://schemas.openxmlformats.org/officeDocument/2006/relationships/hyperlink" Target="https://drive.google.com/drive/folders/1FPwuiTorVKwzJdlnFNEEej7ANL81Fh2O?usp=drive_link" TargetMode="External"/><Relationship Id="rId137" Type="http://schemas.openxmlformats.org/officeDocument/2006/relationships/hyperlink" Target="https://karas-group.com/ru/projects/grand-towers-batumi" TargetMode="External"/><Relationship Id="rId158" Type="http://schemas.openxmlformats.org/officeDocument/2006/relationships/hyperlink" Target="https://yandex.com.ge/maps/122054/autonomous-republic-of-adjara/geo/4859188576/?ll=41.754183%2C41.746550&amp;z=15.02" TargetMode="External"/><Relationship Id="rId302" Type="http://schemas.openxmlformats.org/officeDocument/2006/relationships/hyperlink" Target="https://chat.whatsapp.com/GX0sIiyWg2eKGAKOftpUKi?mode=ems_copy_c" TargetMode="External"/><Relationship Id="rId323" Type="http://schemas.openxmlformats.org/officeDocument/2006/relationships/hyperlink" Target="https://youtu.be/MhGx3bLqgDk" TargetMode="External"/><Relationship Id="rId20" Type="http://schemas.openxmlformats.org/officeDocument/2006/relationships/hyperlink" Target="https://chat.whatsapp.com/IyTDNfVDSrPLJdP00Kwvcu" TargetMode="External"/><Relationship Id="rId41" Type="http://schemas.openxmlformats.org/officeDocument/2006/relationships/hyperlink" Target="https://drive.google.com/drive/folders/113AVp3HKbSoFsWSIJy7lWo8zAujW43xj?usp=drive_link" TargetMode="External"/><Relationship Id="rId62" Type="http://schemas.openxmlformats.org/officeDocument/2006/relationships/hyperlink" Target="https://eltgroup.ge/en/Project/15/index.html" TargetMode="External"/><Relationship Id="rId83" Type="http://schemas.openxmlformats.org/officeDocument/2006/relationships/hyperlink" Target="https://crm.g-plus.app/building-table/28d39c674a5342e6" TargetMode="External"/><Relationship Id="rId179" Type="http://schemas.openxmlformats.org/officeDocument/2006/relationships/hyperlink" Target="https://drive.google.com/drive/folders/16rjqdozPpOHuU8SplCyVkC1E6VyC1nGu" TargetMode="External"/><Relationship Id="rId190" Type="http://schemas.openxmlformats.org/officeDocument/2006/relationships/hyperlink" Target="https://mziuridevelopment.ge/en/projects/mziuri-wellness" TargetMode="External"/><Relationship Id="rId204" Type="http://schemas.openxmlformats.org/officeDocument/2006/relationships/hyperlink" Target="https://nextgroup.ge/ru/radisson?srsltid=AfmBOor4ial3HEBMnVb5MjyWnOP3l-PLhs9ispwRF9Ca8P2IaDHQWO2Y" TargetMode="External"/><Relationship Id="rId225" Type="http://schemas.openxmlformats.org/officeDocument/2006/relationships/hyperlink" Target="https://onedev.ge/ru/home" TargetMode="External"/><Relationship Id="rId246" Type="http://schemas.openxmlformats.org/officeDocument/2006/relationships/hyperlink" Target="https://www.youtube.com/watch?v=P4e-3IOmO5U" TargetMode="External"/><Relationship Id="rId267" Type="http://schemas.openxmlformats.org/officeDocument/2006/relationships/hyperlink" Target="https://tempoholding.ge/ru/serenade" TargetMode="External"/><Relationship Id="rId288" Type="http://schemas.openxmlformats.org/officeDocument/2006/relationships/hyperlink" Target="https://drive.google.com/drive/folders/1W7wNgibPMUthBCKKG0zFoEZYM2ukSTRm" TargetMode="External"/><Relationship Id="rId106" Type="http://schemas.openxmlformats.org/officeDocument/2006/relationships/hyperlink" Target="https://chat.whatsapp.com/EtFZ0JZjpbgE1l9qWDYYDL" TargetMode="External"/><Relationship Id="rId127" Type="http://schemas.openxmlformats.org/officeDocument/2006/relationships/hyperlink" Target="https://chat.whatsapp.com/Hcp6OPGUzfXLJJRYXhkvbu" TargetMode="External"/><Relationship Id="rId313" Type="http://schemas.openxmlformats.org/officeDocument/2006/relationships/hyperlink" Target="https://silverpoint.ge/ru" TargetMode="External"/><Relationship Id="rId10" Type="http://schemas.openxmlformats.org/officeDocument/2006/relationships/hyperlink" Target="https://yandex.com/maps/-/CDHqaRNK" TargetMode="External"/><Relationship Id="rId31" Type="http://schemas.openxmlformats.org/officeDocument/2006/relationships/hyperlink" Target="https://drive.google.com/drive/folders/1qDl-kELxHZNN0ruvP7auTBs5E00SS5Ce?usp=drive_link" TargetMode="External"/><Relationship Id="rId52" Type="http://schemas.openxmlformats.org/officeDocument/2006/relationships/hyperlink" Target="https://eltgroup.ge/en/" TargetMode="External"/><Relationship Id="rId73" Type="http://schemas.openxmlformats.org/officeDocument/2006/relationships/hyperlink" Target="https://chat.whatsapp.com/FLeVKPyb6s8EgDNXJ7nfM8" TargetMode="External"/><Relationship Id="rId94" Type="http://schemas.openxmlformats.org/officeDocument/2006/relationships/hyperlink" Target="https://drive.google.com/drive/folders/1WclbriQ94rCZE0HifntHjBN9yRC1kDgZ?usp=drive_link" TargetMode="External"/><Relationship Id="rId148" Type="http://schemas.openxmlformats.org/officeDocument/2006/relationships/hyperlink" Target="https://chat.whatsapp.com/DCmVi62jCVI3urrUgD6Tmy" TargetMode="External"/><Relationship Id="rId169" Type="http://schemas.openxmlformats.org/officeDocument/2006/relationships/hyperlink" Target="https://docs.google.com/spreadsheets/d/1bupz3K54M-25TjjINCzw2Qo4WveFixUyHc1I-xQRWzs/edit?gid=1699204983" TargetMode="External"/><Relationship Id="rId334" Type="http://schemas.openxmlformats.org/officeDocument/2006/relationships/hyperlink" Target="https://drive.google.com/drive/folders/1OL_2EuXwux5hqJTAu6Ai1A-IzJoX1U61" TargetMode="External"/><Relationship Id="rId4" Type="http://schemas.openxmlformats.org/officeDocument/2006/relationships/hyperlink" Target="https://yandex.com.ge/maps/org/alliance_centropolis/169026326957/?ll=41.619529%2C41.645334&amp;z=16.33" TargetMode="External"/><Relationship Id="rId180" Type="http://schemas.openxmlformats.org/officeDocument/2006/relationships/hyperlink" Target="https://www.metropol.ge/en/projects/ortachala" TargetMode="External"/><Relationship Id="rId215" Type="http://schemas.openxmlformats.org/officeDocument/2006/relationships/hyperlink" Target="https://drive.google.com/drive/folders/1AxfZMGIG4Gzc32eiom9621oS5XY3r5J_?usp=drive_link" TargetMode="External"/><Relationship Id="rId236" Type="http://schemas.openxmlformats.org/officeDocument/2006/relationships/hyperlink" Target="https://chat.whatsapp.com/HnHPcTmV0DXGcJdEGa6x8U" TargetMode="External"/><Relationship Id="rId257" Type="http://schemas.openxmlformats.org/officeDocument/2006/relationships/hyperlink" Target="https://chat.whatsapp.com/Hh72d9Gr6SH4yOrxk4DyoL?mode=gi_t" TargetMode="External"/><Relationship Id="rId278" Type="http://schemas.openxmlformats.org/officeDocument/2006/relationships/hyperlink" Target="https://tg.ge/blogInner/36" TargetMode="External"/><Relationship Id="rId303" Type="http://schemas.openxmlformats.org/officeDocument/2006/relationships/hyperlink" Target="https://drive.google.com/drive/folders/1I5nO9q0-Zyb3uzc5Jta7D4iPkSNChyTo?usp=drive_link" TargetMode="External"/><Relationship Id="rId42" Type="http://schemas.openxmlformats.org/officeDocument/2006/relationships/hyperlink" Target="https://www.youtube.com/watch?v=d_6UgH3z-ac" TargetMode="External"/><Relationship Id="rId84" Type="http://schemas.openxmlformats.org/officeDocument/2006/relationships/hyperlink" Target="https://calligraphy-batumi.com/en" TargetMode="External"/><Relationship Id="rId138" Type="http://schemas.openxmlformats.org/officeDocument/2006/relationships/hyperlink" Target="https://chat.whatsapp.com/Cj5mt8qBLuQ7465vWA1Awm" TargetMode="External"/><Relationship Id="rId191" Type="http://schemas.openxmlformats.org/officeDocument/2006/relationships/hyperlink" Target="https://chat.whatsapp.com/BI1zxUV9yzSHDdboTpKjed" TargetMode="External"/><Relationship Id="rId205" Type="http://schemas.openxmlformats.org/officeDocument/2006/relationships/hyperlink" Target="https://chat.whatsapp.com/B6ypHE5QfRxEc0RvBR0UVw" TargetMode="External"/><Relationship Id="rId247" Type="http://schemas.openxmlformats.org/officeDocument/2006/relationships/hyperlink" Target="https://rogantinidevelopment.com/ru" TargetMode="External"/><Relationship Id="rId107" Type="http://schemas.openxmlformats.org/officeDocument/2006/relationships/hyperlink" Target="https://drive.google.com/drive/folders/1JjhS-l33A8Dw2CBl4nCZMx8dofgTBnbN?usp=drive_link" TargetMode="External"/><Relationship Id="rId289" Type="http://schemas.openxmlformats.org/officeDocument/2006/relationships/hyperlink" Target="https://www.youtube.com/watch?v=o1WqrJ9AU04" TargetMode="External"/><Relationship Id="rId11" Type="http://schemas.openxmlformats.org/officeDocument/2006/relationships/hyperlink" Target="https://ally.ge/auth/login" TargetMode="External"/><Relationship Id="rId53" Type="http://schemas.openxmlformats.org/officeDocument/2006/relationships/hyperlink" Target="https://chat.whatsapp.com/LBREYkEnCkBH8U1VylXzH6" TargetMode="External"/><Relationship Id="rId149" Type="http://schemas.openxmlformats.org/officeDocument/2006/relationships/hyperlink" Target="https://drive.google.com/drive/folders/1BuuRX1Dwd0rbCq6dtgPq-E8Tk0YVy5uJ?usp=drive_link" TargetMode="External"/><Relationship Id="rId314" Type="http://schemas.openxmlformats.org/officeDocument/2006/relationships/hyperlink" Target="https://chat.whatsapp.com/GX0sIiyWg2eKGAKOftpUKi?mode=ems_copy_c" TargetMode="External"/><Relationship Id="rId95" Type="http://schemas.openxmlformats.org/officeDocument/2006/relationships/hyperlink" Target="https://www.youtube.com/watch?v=ZnnXfyC1Z4Y" TargetMode="External"/><Relationship Id="rId160" Type="http://schemas.openxmlformats.org/officeDocument/2006/relationships/hyperlink" Target="https://www.metropol.ge/en/projects/batumi-cube-c1" TargetMode="External"/><Relationship Id="rId216" Type="http://schemas.openxmlformats.org/officeDocument/2006/relationships/hyperlink" Target="https://yandex.com.ge/maps/10278/batumi/house/YEgYcAZkTE0GQFprfXpydH9qYA==/?ll=41.614581%2C41.635395&amp;z=17.13" TargetMode="External"/><Relationship Id="rId258" Type="http://schemas.openxmlformats.org/officeDocument/2006/relationships/hyperlink" Target="https://drive.google.com/drive/folders/1gYZyIgGSnTpRUF8Yrrlf8FO4-HlzmJoQ" TargetMode="External"/><Relationship Id="rId22" Type="http://schemas.openxmlformats.org/officeDocument/2006/relationships/hyperlink" Target="https://yandex.com.ge/maps/101399/kobuleti/?ll=41.782199%2C41.860917&amp;mode=whatshere&amp;whatshere%5Bpoint%5D=41.778816%2C41.860315&amp;whatshere%5Bzoom%5D=16.98&amp;z=16.98" TargetMode="External"/><Relationship Id="rId64" Type="http://schemas.openxmlformats.org/officeDocument/2006/relationships/hyperlink" Target="https://drive.google.com/drive/folders/1BGGxI1lylagZd60nGIlUD8hkEXXe6h7E?usp=drive_link" TargetMode="External"/><Relationship Id="rId118" Type="http://schemas.openxmlformats.org/officeDocument/2006/relationships/hyperlink" Target="https://drive.google.com/drive/folders/1EPoCy2iRcx7NlIOqGNuRBzDVPP78H28Q?usp=drive_link" TargetMode="External"/><Relationship Id="rId325" Type="http://schemas.openxmlformats.org/officeDocument/2006/relationships/hyperlink" Target="https://vrkrtsanisi.com/?utm_source=google&amp;utm_medium=cpc&amp;utm_campaign=g_pmax_krts_en_geo&amp;utm_content&amp;utm_term&amp;gad_source=1&amp;gad_campaignid=23274204941&amp;gbraid=0AAAAA-lMsBOx7oEAnHNYDU_Ez7N-Xd2VW&amp;gclid=CjwKCAiAlfvIBhA6EiwAcErpyaMFWwaxIKYnOm4w0FU98uzi2PDoLtD8JtWuKNn6Y9b_9zDLp5fkIxoC7xUQAvD_BwE" TargetMode="External"/><Relationship Id="rId171" Type="http://schemas.openxmlformats.org/officeDocument/2006/relationships/hyperlink" Target="https://chat.whatsapp.com/KJMOYW99CXX1BU0GFb923F" TargetMode="External"/><Relationship Id="rId227" Type="http://schemas.openxmlformats.org/officeDocument/2006/relationships/hyperlink" Target="https://drive.google.com/drive/folders/1m62Dmo-RZWgQmuwy8idHhPV3qyUnLJOC?usp=drive_link" TargetMode="External"/><Relationship Id="rId269" Type="http://schemas.openxmlformats.org/officeDocument/2006/relationships/hyperlink" Target="https://drive.google.com/drive/folders/14VbdYqM3VNVzgMPpY-tBOUFa4OZurhxl?usp=drive_link" TargetMode="External"/><Relationship Id="rId33" Type="http://schemas.openxmlformats.org/officeDocument/2006/relationships/hyperlink" Target="https://drive.google.com/drive/folders/1gG3c8Zfv4yufpEwpMp-jq8sDoie-d-Da?usp=drive_link" TargetMode="External"/><Relationship Id="rId129" Type="http://schemas.openxmlformats.org/officeDocument/2006/relationships/hyperlink" Target="https://yandex.com.ge/maps/?ll=41.594613%2C41.578363&amp;mode=search&amp;sll=41.590417%2C41.577028&amp;text=41.577028%2C41.590417&amp;z=16" TargetMode="External"/><Relationship Id="rId280" Type="http://schemas.openxmlformats.org/officeDocument/2006/relationships/hyperlink" Target="https://drive.google.com/drive/folders/1v5XSvYYihoGqtfJ0eX1VNS921sulv6kn?usp=drive_link" TargetMode="External"/><Relationship Id="rId336" Type="http://schemas.openxmlformats.org/officeDocument/2006/relationships/hyperlink" Target="https://drive.google.com/drive/folders/1-x67kVhfFHv-NAs6iIMrKyMdEW2720p4?usp=drive_link" TargetMode="External"/><Relationship Id="rId75" Type="http://schemas.openxmlformats.org/officeDocument/2006/relationships/hyperlink" Target="https://www.google.com/maps/place/OXY+Residence/@41.6212205,41.5932271,16.25z/data=!4m14!1m7!3m6!1s0x406785df1ce120bd:0x477d1436a591d520!2z4YOo4YOe4YOhIOGDqOGDkOGDkeGDkA!8m2!3d41.6318695!4d41.6247972!16s%2Fg%2F11ll47mrzn!3m5!1s0x18a2d33103069b9:0x9466681b4cad67c4!8m2!3d41.6203599!4d41.5924054!16s%2Fg%2F11myvlq9cn?entry=ttu&amp;g_ep=EgoyMDI2MDEwNy4wIKXMDSoASAFQAw%3D%3D" TargetMode="External"/><Relationship Id="rId140" Type="http://schemas.openxmlformats.org/officeDocument/2006/relationships/hyperlink" Target="https://share.google/cuwAVLYaCK0t9H9rN" TargetMode="External"/><Relationship Id="rId182" Type="http://schemas.openxmlformats.org/officeDocument/2006/relationships/hyperlink" Target="https://drive.google.com/drive/folders/1BQSbxYozLw9hlHxcKGQs-jGa7GypJ_Om?usp=drive_link" TargetMode="External"/><Relationship Id="rId6" Type="http://schemas.openxmlformats.org/officeDocument/2006/relationships/hyperlink" Target="https://www.youtube.com/watch?v=_3G6KtuAMe4" TargetMode="External"/><Relationship Id="rId238" Type="http://schemas.openxmlformats.org/officeDocument/2006/relationships/hyperlink" Target="https://yandex.com.ge/maps/10278/batumi/house/YEgYcAZnTUABQFprfXp1cXRrYw==/?ll=41.617456%2C41.640887&amp;z=16" TargetMode="External"/><Relationship Id="rId291" Type="http://schemas.openxmlformats.org/officeDocument/2006/relationships/hyperlink" Target="https://chat.whatsapp.com/IODimPIFxoHI0kn5u5Xu8D" TargetMode="External"/><Relationship Id="rId305" Type="http://schemas.openxmlformats.org/officeDocument/2006/relationships/hyperlink" Target="https://orangesales.ge/cabinet/applications" TargetMode="External"/><Relationship Id="rId44" Type="http://schemas.openxmlformats.org/officeDocument/2006/relationships/hyperlink" Target="https://chat.whatsapp.com/GlpxB5ynQBjEB6QG0XVqhp" TargetMode="External"/><Relationship Id="rId86" Type="http://schemas.openxmlformats.org/officeDocument/2006/relationships/hyperlink" Target="https://drive.google.com/drive/folders/1tSZDSjan2Mu5fvTTBozUmWeqJQRjhm9i?usp=drive_link" TargetMode="External"/><Relationship Id="rId151" Type="http://schemas.openxmlformats.org/officeDocument/2006/relationships/hyperlink" Target="https://drive.google.com/drive/folders/1P9b-mWU_L7JYM11oSh6-E03TYSH0R66c" TargetMode="External"/><Relationship Id="rId193" Type="http://schemas.openxmlformats.org/officeDocument/2006/relationships/hyperlink" Target="https://yandex.com.ge/maps/122054/autonomous-republic-of-adjara/geo/4864318256/?ll=41.708203%2C41.669865&amp;z=17.28" TargetMode="External"/><Relationship Id="rId207" Type="http://schemas.openxmlformats.org/officeDocument/2006/relationships/hyperlink" Target="https://yandex.com.ge/maps/10278/batumi/?ll=41.567545%2C41.560764&amp;mode=whatshere&amp;whatshere%5Bpoint%5D=41.566497%2C41.561068&amp;whatshere%5Bzoom%5D=16.85&amp;z=16.85" TargetMode="External"/><Relationship Id="rId249" Type="http://schemas.openxmlformats.org/officeDocument/2006/relationships/hyperlink" Target="https://drive.google.com/drive/folders/1uuhmom7KNJ94lax7FKbbd1JC2R0KsTMN?usp=drive_link" TargetMode="External"/><Relationship Id="rId13" Type="http://schemas.openxmlformats.org/officeDocument/2006/relationships/hyperlink" Target="https://alliance.ge/ru/projects/alliance-privilege" TargetMode="External"/><Relationship Id="rId109" Type="http://schemas.openxmlformats.org/officeDocument/2006/relationships/hyperlink" Target="https://flatshow.property/strada" TargetMode="External"/><Relationship Id="rId260" Type="http://schemas.openxmlformats.org/officeDocument/2006/relationships/hyperlink" Target="https://drive.google.com/drive/folders/1zNSmEodzOsZhklNt4OC_Q4dLjgArrXh7?usp=drive_link" TargetMode="External"/><Relationship Id="rId316" Type="http://schemas.openxmlformats.org/officeDocument/2006/relationships/hyperlink" Target="https://maps.app.goo.gl/a75K2KGH7GsMwUe2A" TargetMode="External"/><Relationship Id="rId55" Type="http://schemas.openxmlformats.org/officeDocument/2006/relationships/hyperlink" Target="https://yandex.com.ge/maps/10277/tbilisi/?ll=44.837908%2C41.677723&amp;mode=whatshere&amp;whatshere%5Bpoint%5D=44.838957%2C41.678406&amp;whatshere%5Bzoom%5D=17.13&amp;z=17.13" TargetMode="External"/><Relationship Id="rId97" Type="http://schemas.openxmlformats.org/officeDocument/2006/relationships/hyperlink" Target="https://chat.whatsapp.com/Izt8MQTvZi3BUbZnURNIyP" TargetMode="External"/><Relationship Id="rId120" Type="http://schemas.openxmlformats.org/officeDocument/2006/relationships/hyperlink" Target="https://ikon.ge/partners_ru" TargetMode="External"/><Relationship Id="rId162" Type="http://schemas.openxmlformats.org/officeDocument/2006/relationships/hyperlink" Target="https://drive.google.com/drive/folders/1z5WajxYRzmxz6TiA9PalrpWX_pLN9iXa?usp=drive_link" TargetMode="External"/><Relationship Id="rId218" Type="http://schemas.openxmlformats.org/officeDocument/2006/relationships/hyperlink" Target="https://www.youtube.com/watch?v=lB70a-MsUm8&amp;t" TargetMode="External"/><Relationship Id="rId271" Type="http://schemas.openxmlformats.org/officeDocument/2006/relationships/hyperlink" Target="https://drive.google.com/drive/folders/1Qwt7ndpGQLpcrx4nbNZRp9G7MLcyqSpP" TargetMode="External"/><Relationship Id="rId24" Type="http://schemas.openxmlformats.org/officeDocument/2006/relationships/hyperlink" Target="https://www.youtube.com/watch?v=_3G6KtuAMe4" TargetMode="External"/><Relationship Id="rId66" Type="http://schemas.openxmlformats.org/officeDocument/2006/relationships/hyperlink" Target="https://drive.google.com/drive/folders/1k-X3H9y7vWDnWcmficnSjyKTTZDYfhf0?usp=drive_link" TargetMode="External"/><Relationship Id="rId131" Type="http://schemas.openxmlformats.org/officeDocument/2006/relationships/hyperlink" Target="https://www.youtube.com/watch?v=SSH6DDJod58" TargetMode="External"/><Relationship Id="rId327" Type="http://schemas.openxmlformats.org/officeDocument/2006/relationships/hyperlink" Target="https://drive.google.com/drive/folders/1ezMWa5eXeg2ooakHm8s9XqEFhuhvF4ap?usp=drive_link" TargetMode="External"/><Relationship Id="rId173" Type="http://schemas.openxmlformats.org/officeDocument/2006/relationships/hyperlink" Target="https://yandex.com.ge/maps/10278/batumi/house/YEgYcAZmTEQEQFprfXpyd3xmYQ==/?ll=41.616512%2C41.636055&amp;z=16" TargetMode="External"/><Relationship Id="rId229" Type="http://schemas.openxmlformats.org/officeDocument/2006/relationships/hyperlink" Target="https://home-batumi.ge/ru/townhou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22C5-78A4-4D5D-B463-963C51EAEC8D}">
  <dimension ref="A1:AJ570"/>
  <sheetViews>
    <sheetView tabSelected="1" workbookViewId="0">
      <selection activeCell="Z3" sqref="Z3"/>
    </sheetView>
  </sheetViews>
  <sheetFormatPr defaultColWidth="14.42578125" defaultRowHeight="15" x14ac:dyDescent="0.25"/>
  <cols>
    <col min="1" max="1" width="17.85546875" customWidth="1"/>
    <col min="3" max="3" width="49.42578125" customWidth="1"/>
    <col min="5" max="5" width="17.140625" customWidth="1"/>
    <col min="17" max="17" width="20.5703125" hidden="1" customWidth="1"/>
    <col min="18" max="18" width="11.140625" hidden="1" customWidth="1"/>
    <col min="20" max="20" width="18" customWidth="1"/>
    <col min="24" max="24" width="19" hidden="1" customWidth="1"/>
  </cols>
  <sheetData>
    <row r="1" spans="1:36" ht="26.25" x14ac:dyDescent="0.25">
      <c r="A1" s="1" t="str">
        <f ca="1">IFERROR(__xludf.DUMMYFUNCTION("IMPORTRANGE(""https://docs.google.com/spreadsheets/d/11xTzh7aeDTkR3RmKFdpEOSlQ7ymiwJti38JapGczjiw/edit?gid=730210692#gid=730210692"",""Объекты!A1:z100"")"),"КАРТА")</f>
        <v>КАРТА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3"/>
      <c r="P1" s="6"/>
      <c r="Q1" s="3"/>
      <c r="R1" s="7"/>
      <c r="S1" s="3"/>
      <c r="T1" s="8"/>
      <c r="U1" s="6"/>
      <c r="V1" s="3"/>
      <c r="W1" s="3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spans="1:36" ht="63.75" thickBot="1" x14ac:dyDescent="0.3">
      <c r="A2" s="10" t="str">
        <f ca="1">IFERROR(__xludf.DUMMYFUNCTION("""COMPUTED_VALUE"""),"Застройщик")</f>
        <v>Застройщик</v>
      </c>
      <c r="B2" s="10" t="str">
        <f ca="1">IFERROR(__xludf.DUMMYFUNCTION("""COMPUTED_VALUE"""),"Объект")</f>
        <v>Объект</v>
      </c>
      <c r="C2" s="10" t="str">
        <f ca="1">IFERROR(__xludf.DUMMYFUNCTION("""COMPUTED_VALUE"""),"Март 2026. ПВ и рассрочка. Скидки")</f>
        <v>Март 2026. ПВ и рассрочка. Скидки</v>
      </c>
      <c r="D2" s="10" t="str">
        <f ca="1">IFERROR(__xludf.DUMMYFUNCTION("""COMPUTED_VALUE"""),"Выплата комиссии агентам")</f>
        <v>Выплата комиссии агентам</v>
      </c>
      <c r="E2" s="10" t="str">
        <f ca="1">IFERROR(__xludf.DUMMYFUNCTION("""COMPUTED_VALUE"""),"Официальный сайт")</f>
        <v>Официальный сайт</v>
      </c>
      <c r="F2" s="10" t="str">
        <f ca="1">IFERROR(__xludf.DUMMYFUNCTION("""COMPUTED_VALUE"""),"WhatsApp")</f>
        <v>WhatsApp</v>
      </c>
      <c r="G2" s="10" t="str">
        <f ca="1">IFERROR(__xludf.DUMMYFUNCTION("""COMPUTED_VALUE"""),"Google Disk")</f>
        <v>Google Disk</v>
      </c>
      <c r="H2" s="10" t="str">
        <f ca="1">IFERROR(__xludf.DUMMYFUNCTION("""COMPUTED_VALUE"""),"Карта")</f>
        <v>Карта</v>
      </c>
      <c r="I2" s="10" t="str">
        <f ca="1">IFERROR(__xludf.DUMMYFUNCTION("""COMPUTED_VALUE"""),"Ссылка на прайс
(при наличии)")</f>
        <v>Ссылка на прайс
(при наличии)</v>
      </c>
      <c r="J2" s="10" t="str">
        <f ca="1">IFERROR(__xludf.DUMMYFUNCTION("""COMPUTED_VALUE"""),"Отделка")</f>
        <v>Отделка</v>
      </c>
      <c r="K2" s="10" t="str">
        <f ca="1">IFERROR(__xludf.DUMMYFUNCTION("""COMPUTED_VALUE"""),"Тип")</f>
        <v>Тип</v>
      </c>
      <c r="L2" s="10" t="str">
        <f ca="1">IFERROR(__xludf.DUMMYFUNCTION("""COMPUTED_VALUE"""),"Площадь")</f>
        <v>Площадь</v>
      </c>
      <c r="M2" s="11" t="str">
        <f ca="1">IFERROR(__xludf.DUMMYFUNCTION("""COMPUTED_VALUE"""),"Месяц/квартал сдачи")</f>
        <v>Месяц/квартал сдачи</v>
      </c>
      <c r="N2" s="12" t="str">
        <f ca="1">IFERROR(__xludf.DUMMYFUNCTION("""COMPUTED_VALUE"""),"Год сдачи")</f>
        <v>Год сдачи</v>
      </c>
      <c r="O2" s="10" t="str">
        <f ca="1">IFERROR(__xludf.DUMMYFUNCTION("""COMPUTED_VALUE"""),"Ремонт")</f>
        <v>Ремонт</v>
      </c>
      <c r="P2" s="13" t="str">
        <f ca="1">IFERROR(__xludf.DUMMYFUNCTION("""COMPUTED_VALUE"""),"Как платят комиссию за ремонт")</f>
        <v>Как платят комиссию за ремонт</v>
      </c>
      <c r="Q2" s="10" t="str">
        <f ca="1">IFERROR(__xludf.DUMMYFUNCTION("""COMPUTED_VALUE"""),"Гарантированная доходность")</f>
        <v>Гарантированная доходность</v>
      </c>
      <c r="R2" s="14" t="str">
        <f ca="1">IFERROR(__xludf.DUMMYFUNCTION("""COMPUTED_VALUE"""),"Локация")</f>
        <v>Локация</v>
      </c>
      <c r="S2" s="10" t="str">
        <f ca="1">IFERROR(__xludf.DUMMYFUNCTION("""COMPUTED_VALUE"""),"Минимальная цена квадрата (октябрь)")</f>
        <v>Минимальная цена квадрата (октябрь)</v>
      </c>
      <c r="T2" s="15" t="str">
        <f ca="1">IFERROR(__xludf.DUMMYFUNCTION("""COMPUTED_VALUE"""),"Этажность")</f>
        <v>Этажность</v>
      </c>
      <c r="U2" s="13" t="str">
        <f ca="1">IFERROR(__xludf.DUMMYFUNCTION("""COMPUTED_VALUE"""),"Ипотека")</f>
        <v>Ипотека</v>
      </c>
      <c r="V2" s="10" t="str">
        <f ca="1">IFERROR(__xludf.DUMMYFUNCTION("""COMPUTED_VALUE"""),"Обучение по объекту")</f>
        <v>Обучение по объекту</v>
      </c>
      <c r="W2" s="10" t="str">
        <f ca="1">IFERROR(__xludf.DUMMYFUNCTION("""COMPUTED_VALUE"""),"Комментарии и пожелания")</f>
        <v>Комментарии и пожелания</v>
      </c>
      <c r="X2" s="16" t="str">
        <f ca="1">IFERROR(__xludf.DUMMYFUNCTION("""COMPUTED_VALUE"""),"Основной контакт")</f>
        <v>Основной контакт</v>
      </c>
      <c r="Y2" s="16" t="str">
        <f ca="1">IFERROR(__xludf.DUMMYFUNCTION("""COMPUTED_VALUE"""),"Комиссия агента чистыми")</f>
        <v>Комиссия агента чистыми</v>
      </c>
      <c r="Z2" s="16" t="str">
        <f ca="1">IFERROR(__xludf.DUMMYFUNCTION("""COMPUTED_VALUE"""),"Комиссия агента (с НДС)")</f>
        <v>Комиссия агента (с НДС)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</row>
    <row r="3" spans="1:36" ht="165.75" thickBot="1" x14ac:dyDescent="0.3">
      <c r="A3" s="17" t="str">
        <f ca="1">IFERROR(__xludf.DUMMYFUNCTION("""COMPUTED_VALUE"""),"ALLIANCE")</f>
        <v>ALLIANCE</v>
      </c>
      <c r="B3" s="18" t="str">
        <f ca="1">IFERROR(__xludf.DUMMYFUNCTION("""COMPUTED_VALUE"""),"Centropolis")</f>
        <v>Centropolis</v>
      </c>
      <c r="C3" s="18" t="str">
        <f ca="1">IFERROR(__xludf.DUMMYFUNCTION("""COMPUTED_VALUE"""),"Во вкладке Акции обратите внимание на  условия. ПВ 10%, рассрочка на 60 месяц (блок А), блок Б и С ( 48 месяцев) ")</f>
        <v xml:space="preserve">Во вкладке Акции обратите внимание на  условия. ПВ 10%, рассрочка на 60 месяц (блок А), блок Б и С ( 48 месяцев) </v>
      </c>
      <c r="D3" s="18" t="str">
        <f ca="1">IFERROR(__xludf.DUMMYFUNCTION("""COMPUTED_VALUE"""),"ПВ 10% - 50%, ПВ 20% - 100% комиссии")</f>
        <v>ПВ 10% - 50%, ПВ 20% - 100% комиссии</v>
      </c>
      <c r="E3" s="19" t="str">
        <f ca="1">IFERROR(__xludf.DUMMYFUNCTION("""COMPUTED_VALUE"""),"Ссылка")</f>
        <v>Ссылка</v>
      </c>
      <c r="F3" s="19" t="str">
        <f ca="1">IFERROR(__xludf.DUMMYFUNCTION("""COMPUTED_VALUE"""),"Ссылка")</f>
        <v>Ссылка</v>
      </c>
      <c r="G3" s="19" t="str">
        <f ca="1">IFERROR(__xludf.DUMMYFUNCTION("""COMPUTED_VALUE"""),"Ссылка")</f>
        <v>Ссылка</v>
      </c>
      <c r="H3" s="19" t="str">
        <f ca="1">IFERROR(__xludf.DUMMYFUNCTION("""COMPUTED_VALUE"""),"Яндекс")</f>
        <v>Яндекс</v>
      </c>
      <c r="I3" s="19" t="str">
        <f ca="1">IFERROR(__xludf.DUMMYFUNCTION("""COMPUTED_VALUE"""),"Через платформу Ally")</f>
        <v>Через платформу Ally</v>
      </c>
      <c r="J3" s="18" t="str">
        <f ca="1">IFERROR(__xludf.DUMMYFUNCTION("""COMPUTED_VALUE"""),"BF (без ремонта)")</f>
        <v>BF (без ремонта)</v>
      </c>
      <c r="K3" s="18" t="str">
        <f ca="1">IFERROR(__xludf.DUMMYFUNCTION("""COMPUTED_VALUE"""),"Апартаменты ")</f>
        <v xml:space="preserve">Апартаменты </v>
      </c>
      <c r="L3" s="18" t="str">
        <f ca="1">IFERROR(__xludf.DUMMYFUNCTION("""COMPUTED_VALUE"""),"29-71")</f>
        <v>29-71</v>
      </c>
      <c r="M3" s="20" t="str">
        <f ca="1">IFERROR(__xludf.DUMMYFUNCTION("""COMPUTED_VALUE"""),"4 квартал")</f>
        <v>4 квартал</v>
      </c>
      <c r="N3" s="21">
        <f ca="1">IFERROR(__xludf.DUMMYFUNCTION("""COMPUTED_VALUE"""),2029)</f>
        <v>2029</v>
      </c>
      <c r="O3" s="22">
        <f ca="1">IFERROR(__xludf.DUMMYFUNCTION("""COMPUTED_VALUE"""),900)</f>
        <v>900</v>
      </c>
      <c r="P3" s="23" t="str">
        <f ca="1">IFERROR(__xludf.DUMMYFUNCTION("""COMPUTED_VALUE"""),"За стоимость ремонта выплачивается половина комиссии")</f>
        <v>За стоимость ремонта выплачивается половина комиссии</v>
      </c>
      <c r="Q3" s="18"/>
      <c r="R3" s="24" t="str">
        <f ca="1">IFERROR(__xludf.DUMMYFUNCTION("""COMPUTED_VALUE"""),"Батуми")</f>
        <v>Батуми</v>
      </c>
      <c r="S3" s="22" t="str">
        <f ca="1">IFERROR(__xludf.DUMMYFUNCTION("""COMPUTED_VALUE"""),"3004$ (С block)")</f>
        <v>3004$ (С block)</v>
      </c>
      <c r="T3" s="25" t="str">
        <f ca="1">IFERROR(__xludf.DUMMYFUNCTION("""COMPUTED_VALUE"""),"48, 55")</f>
        <v>48, 55</v>
      </c>
      <c r="U3" s="23" t="str">
        <f ca="1">IFERROR(__xludf.DUMMYFUNCTION("""COMPUTED_VALUE"""),"Нет")</f>
        <v>Нет</v>
      </c>
      <c r="V3" s="19" t="str">
        <f ca="1">IFERROR(__xludf.DUMMYFUNCTION("""COMPUTED_VALUE"""),"Ссылка")</f>
        <v>Ссылка</v>
      </c>
      <c r="W3" s="18" t="str">
        <f ca="1">IFERROR(__xludf.DUMMYFUNCTION("""COMPUTED_VALUE"""),"Кешбек выплачивается либо в счет рассрочки, либо в счет ремонта. Комиссия выплачивается из суммы учитывая скидку")</f>
        <v>Кешбек выплачивается либо в счет рассрочки, либо в счет ремонта. Комиссия выплачивается из суммы учитывая скидку</v>
      </c>
      <c r="X3" s="20" t="str">
        <f ca="1">IFERROR(__xludf.DUMMYFUNCTION("""COMPUTED_VALUE"""),"995 591 1414 42 Ника")</f>
        <v>995 591 1414 42 Ника</v>
      </c>
      <c r="Y3" s="26">
        <f ca="1">IFERROR(__xludf.DUMMYFUNCTION("""COMPUTED_VALUE"""),0.0402796610169491)</f>
        <v>4.0279661016949103E-2</v>
      </c>
      <c r="Z3" s="27">
        <f ca="1">IFERROR(__xludf.DUMMYFUNCTION("""COMPUTED_VALUE"""),0.047)</f>
        <v>4.7E-2</v>
      </c>
      <c r="AA3" s="28"/>
      <c r="AB3" s="28"/>
      <c r="AC3" s="28"/>
      <c r="AD3" s="28"/>
      <c r="AE3" s="28"/>
      <c r="AF3" s="28"/>
      <c r="AG3" s="28"/>
      <c r="AH3" s="28"/>
      <c r="AI3" s="28"/>
      <c r="AJ3" s="28"/>
    </row>
    <row r="4" spans="1:36" ht="45.75" thickBot="1" x14ac:dyDescent="0.3">
      <c r="A4" s="17" t="str">
        <f ca="1">IFERROR(__xludf.DUMMYFUNCTION("""COMPUTED_VALUE"""),"ALLIANCE")</f>
        <v>ALLIANCE</v>
      </c>
      <c r="B4" s="18" t="str">
        <f ca="1">IFERROR(__xludf.DUMMYFUNCTION("""COMPUTED_VALUE"""),"Highline")</f>
        <v>Highline</v>
      </c>
      <c r="C4" s="18" t="str">
        <f ca="1">IFERROR(__xludf.DUMMYFUNCTION("""COMPUTED_VALUE"""),"10%, рассрочка на 30 месяцев, 20% последний взнос. ")</f>
        <v xml:space="preserve">10%, рассрочка на 30 месяцев, 20% последний взнос. </v>
      </c>
      <c r="D4" s="18" t="str">
        <f ca="1">IFERROR(__xludf.DUMMYFUNCTION("""COMPUTED_VALUE"""),"ПВ 10% - 50%, ПВ 20% - 100% комиссии")</f>
        <v>ПВ 10% - 50%, ПВ 20% - 100% комиссии</v>
      </c>
      <c r="E4" s="19" t="str">
        <f ca="1">IFERROR(__xludf.DUMMYFUNCTION("""COMPUTED_VALUE"""),"Ссылка")</f>
        <v>Ссылка</v>
      </c>
      <c r="F4" s="19" t="str">
        <f ca="1">IFERROR(__xludf.DUMMYFUNCTION("""COMPUTED_VALUE"""),"Ссылка")</f>
        <v>Ссылка</v>
      </c>
      <c r="G4" s="19" t="str">
        <f ca="1">IFERROR(__xludf.DUMMYFUNCTION("""COMPUTED_VALUE"""),"Ссылка")</f>
        <v>Ссылка</v>
      </c>
      <c r="H4" s="19" t="str">
        <f ca="1">IFERROR(__xludf.DUMMYFUNCTION("""COMPUTED_VALUE"""),"Яндекс")</f>
        <v>Яндекс</v>
      </c>
      <c r="I4" s="19" t="str">
        <f ca="1">IFERROR(__xludf.DUMMYFUNCTION("""COMPUTED_VALUE"""),"Через платформу Ally")</f>
        <v>Через платформу Ally</v>
      </c>
      <c r="J4" s="18" t="str">
        <f ca="1">IFERROR(__xludf.DUMMYFUNCTION("""COMPUTED_VALUE"""),"Turnkey")</f>
        <v>Turnkey</v>
      </c>
      <c r="K4" s="18" t="str">
        <f ca="1">IFERROR(__xludf.DUMMYFUNCTION("""COMPUTED_VALUE"""),"Апартаменты ")</f>
        <v xml:space="preserve">Апартаменты </v>
      </c>
      <c r="L4" s="18" t="str">
        <f ca="1">IFERROR(__xludf.DUMMYFUNCTION("""COMPUTED_VALUE"""),"32-42")</f>
        <v>32-42</v>
      </c>
      <c r="M4" s="20" t="str">
        <f ca="1">IFERROR(__xludf.DUMMYFUNCTION("""COMPUTED_VALUE"""),"4 квартал")</f>
        <v>4 квартал</v>
      </c>
      <c r="N4" s="21">
        <f ca="1">IFERROR(__xludf.DUMMYFUNCTION("""COMPUTED_VALUE"""),2026)</f>
        <v>2026</v>
      </c>
      <c r="O4" s="22" t="str">
        <f ca="1">IFERROR(__xludf.DUMMYFUNCTION("""COMPUTED_VALUE"""),"-")</f>
        <v>-</v>
      </c>
      <c r="P4" s="23" t="str">
        <f ca="1">IFERROR(__xludf.DUMMYFUNCTION("""COMPUTED_VALUE"""),"-")</f>
        <v>-</v>
      </c>
      <c r="Q4" s="18"/>
      <c r="R4" s="24" t="str">
        <f ca="1">IFERROR(__xludf.DUMMYFUNCTION("""COMPUTED_VALUE"""),"Тбилиси")</f>
        <v>Тбилиси</v>
      </c>
      <c r="S4" s="22" t="str">
        <f ca="1">IFERROR(__xludf.DUMMYFUNCTION("""COMPUTED_VALUE"""),"5750$ (Turn-key Block C)")</f>
        <v>5750$ (Turn-key Block C)</v>
      </c>
      <c r="T4" s="25" t="str">
        <f ca="1">IFERROR(__xludf.DUMMYFUNCTION("""COMPUTED_VALUE"""),"40, 33, 26")</f>
        <v>40, 33, 26</v>
      </c>
      <c r="U4" s="23" t="str">
        <f ca="1">IFERROR(__xludf.DUMMYFUNCTION("""COMPUTED_VALUE"""),"Нет")</f>
        <v>Нет</v>
      </c>
      <c r="V4" s="19" t="str">
        <f ca="1">IFERROR(__xludf.DUMMYFUNCTION("""COMPUTED_VALUE"""),"Ссылка")</f>
        <v>Ссылка</v>
      </c>
      <c r="W4" s="18"/>
      <c r="X4" s="20" t="str">
        <f ca="1">IFERROR(__xludf.DUMMYFUNCTION("""COMPUTED_VALUE"""),"995 591 141 442 Ника")</f>
        <v>995 591 141 442 Ника</v>
      </c>
      <c r="Y4" s="26">
        <f ca="1">IFERROR(__xludf.DUMMYFUNCTION("""COMPUTED_VALUE"""),0.0402796610169491)</f>
        <v>4.0279661016949103E-2</v>
      </c>
      <c r="Z4" s="27">
        <f ca="1">IFERROR(__xludf.DUMMYFUNCTION("""COMPUTED_VALUE"""),0.047)</f>
        <v>4.7E-2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</row>
    <row r="5" spans="1:36" ht="45.75" thickBot="1" x14ac:dyDescent="0.3">
      <c r="A5" s="17" t="str">
        <f ca="1">IFERROR(__xludf.DUMMYFUNCTION("""COMPUTED_VALUE"""),"ALLIANCE")</f>
        <v>ALLIANCE</v>
      </c>
      <c r="B5" s="18" t="str">
        <f ca="1">IFERROR(__xludf.DUMMYFUNCTION("""COMPUTED_VALUE"""),"Privilege")</f>
        <v>Privilege</v>
      </c>
      <c r="C5" s="18" t="str">
        <f ca="1">IFERROR(__xludf.DUMMYFUNCTION("""COMPUTED_VALUE"""),"100% оплата")</f>
        <v>100% оплата</v>
      </c>
      <c r="D5" s="18" t="str">
        <f ca="1">IFERROR(__xludf.DUMMYFUNCTION("""COMPUTED_VALUE"""),"ПВ 100% - 100% комиссии")</f>
        <v>ПВ 100% - 100% комиссии</v>
      </c>
      <c r="E5" s="19" t="str">
        <f ca="1">IFERROR(__xludf.DUMMYFUNCTION("""COMPUTED_VALUE"""),"Ссылка")</f>
        <v>Ссылка</v>
      </c>
      <c r="F5" s="19" t="str">
        <f ca="1">IFERROR(__xludf.DUMMYFUNCTION("""COMPUTED_VALUE"""),"Ссылка")</f>
        <v>Ссылка</v>
      </c>
      <c r="G5" s="19" t="str">
        <f ca="1">IFERROR(__xludf.DUMMYFUNCTION("""COMPUTED_VALUE"""),"Ccылка")</f>
        <v>Ccылка</v>
      </c>
      <c r="H5" s="19" t="str">
        <f ca="1">IFERROR(__xludf.DUMMYFUNCTION("""COMPUTED_VALUE"""),"Ссылка")</f>
        <v>Ссылка</v>
      </c>
      <c r="I5" s="19" t="str">
        <f ca="1">IFERROR(__xludf.DUMMYFUNCTION("""COMPUTED_VALUE"""),"Через платформу Ally")</f>
        <v>Через платформу Ally</v>
      </c>
      <c r="J5" s="18" t="str">
        <f ca="1">IFERROR(__xludf.DUMMYFUNCTION("""COMPUTED_VALUE"""),"Turnkey")</f>
        <v>Turnkey</v>
      </c>
      <c r="K5" s="18" t="str">
        <f ca="1">IFERROR(__xludf.DUMMYFUNCTION("""COMPUTED_VALUE"""),"Апартаменты ")</f>
        <v xml:space="preserve">Апартаменты </v>
      </c>
      <c r="L5" s="18" t="str">
        <f ca="1">IFERROR(__xludf.DUMMYFUNCTION("""COMPUTED_VALUE"""),"33-58")</f>
        <v>33-58</v>
      </c>
      <c r="M5" s="20" t="str">
        <f ca="1">IFERROR(__xludf.DUMMYFUNCTION("""COMPUTED_VALUE"""),"3 квартал")</f>
        <v>3 квартал</v>
      </c>
      <c r="N5" s="21">
        <f ca="1">IFERROR(__xludf.DUMMYFUNCTION("""COMPUTED_VALUE"""),2025)</f>
        <v>2025</v>
      </c>
      <c r="O5" s="22" t="str">
        <f ca="1">IFERROR(__xludf.DUMMYFUNCTION("""COMPUTED_VALUE"""),"-")</f>
        <v>-</v>
      </c>
      <c r="P5" s="23" t="str">
        <f ca="1">IFERROR(__xludf.DUMMYFUNCTION("""COMPUTED_VALUE"""),"-")</f>
        <v>-</v>
      </c>
      <c r="Q5" s="18"/>
      <c r="R5" s="24" t="str">
        <f ca="1">IFERROR(__xludf.DUMMYFUNCTION("""COMPUTED_VALUE"""),"Батуми")</f>
        <v>Батуми</v>
      </c>
      <c r="S5" s="22" t="str">
        <f ca="1">IFERROR(__xludf.DUMMYFUNCTION("""COMPUTED_VALUE"""),"5000$")</f>
        <v>5000$</v>
      </c>
      <c r="T5" s="25">
        <f ca="1">IFERROR(__xludf.DUMMYFUNCTION("""COMPUTED_VALUE"""),54)</f>
        <v>54</v>
      </c>
      <c r="U5" s="23" t="str">
        <f ca="1">IFERROR(__xludf.DUMMYFUNCTION("""COMPUTED_VALUE"""),"да")</f>
        <v>да</v>
      </c>
      <c r="V5" s="18" t="str">
        <f ca="1">IFERROR(__xludf.DUMMYFUNCTION("""COMPUTED_VALUE"""),"-")</f>
        <v>-</v>
      </c>
      <c r="W5" s="18"/>
      <c r="X5" s="20" t="str">
        <f ca="1">IFERROR(__xludf.DUMMYFUNCTION("""COMPUTED_VALUE"""),"995 591 141 442 Ника")</f>
        <v>995 591 141 442 Ника</v>
      </c>
      <c r="Y5" s="26">
        <f ca="1">IFERROR(__xludf.DUMMYFUNCTION("""COMPUTED_VALUE"""),0.04)</f>
        <v>0.04</v>
      </c>
      <c r="Z5" s="27">
        <f ca="1">IFERROR(__xludf.DUMMYFUNCTION("""COMPUTED_VALUE"""),0.047)</f>
        <v>4.7E-2</v>
      </c>
      <c r="AA5" s="28"/>
      <c r="AB5" s="28"/>
      <c r="AC5" s="28"/>
      <c r="AD5" s="28"/>
      <c r="AE5" s="28"/>
      <c r="AF5" s="28"/>
      <c r="AG5" s="28"/>
      <c r="AH5" s="28"/>
      <c r="AI5" s="28"/>
      <c r="AJ5" s="28"/>
    </row>
    <row r="6" spans="1:36" ht="165.75" thickBot="1" x14ac:dyDescent="0.3">
      <c r="A6" s="17" t="str">
        <f ca="1">IFERROR(__xludf.DUMMYFUNCTION("""COMPUTED_VALUE"""),"ALLIANCE")</f>
        <v>ALLIANCE</v>
      </c>
      <c r="B6" s="18" t="str">
        <f ca="1">IFERROR(__xludf.DUMMYFUNCTION("""COMPUTED_VALUE"""),"Renaissance")</f>
        <v>Renaissance</v>
      </c>
      <c r="C6" s="19" t="str">
        <f ca="1">IFERROR(__xludf.DUMMYFUNCTION("""COMPUTED_VALUE"""),"Во вкладке Акции обратите внимание на условия. Блок А:
10%, рассрочка на 30 месяцев. 
Блок B:
 10% — первый взнос
• 40 месяца — внутренняя беспроцентная рассрочка
• 20% — финальный платёж
")</f>
        <v xml:space="preserve">Во вкладке Акции обратите внимание на условия. Блок А:
10%, рассрочка на 30 месяцев. 
Блок B:
 10% — первый взнос
• 40 месяца — внутренняя беспроцентная рассрочка
• 20% — финальный платёж
</v>
      </c>
      <c r="D6" s="18" t="str">
        <f ca="1">IFERROR(__xludf.DUMMYFUNCTION("""COMPUTED_VALUE"""),"ПВ 10% - 50%, ПВ 20% - 100% комиссии")</f>
        <v>ПВ 10% - 50%, ПВ 20% - 100% комиссии</v>
      </c>
      <c r="E6" s="19" t="str">
        <f ca="1">IFERROR(__xludf.DUMMYFUNCTION("""COMPUTED_VALUE"""),"Ссылка")</f>
        <v>Ссылка</v>
      </c>
      <c r="F6" s="19" t="str">
        <f ca="1">IFERROR(__xludf.DUMMYFUNCTION("""COMPUTED_VALUE"""),"Ссылка")</f>
        <v>Ссылка</v>
      </c>
      <c r="G6" s="19" t="str">
        <f ca="1">IFERROR(__xludf.DUMMYFUNCTION("""COMPUTED_VALUE"""),"Ссылка")</f>
        <v>Ссылка</v>
      </c>
      <c r="H6" s="19" t="str">
        <f ca="1">IFERROR(__xludf.DUMMYFUNCTION("""COMPUTED_VALUE"""),"Яндекс")</f>
        <v>Яндекс</v>
      </c>
      <c r="I6" s="19" t="str">
        <f ca="1">IFERROR(__xludf.DUMMYFUNCTION("""COMPUTED_VALUE"""),"Через платформу Ally")</f>
        <v>Через платформу Ally</v>
      </c>
      <c r="J6" s="18" t="str">
        <f ca="1">IFERROR(__xludf.DUMMYFUNCTION("""COMPUTED_VALUE"""),"BF (без ремонта)")</f>
        <v>BF (без ремонта)</v>
      </c>
      <c r="K6" s="18" t="str">
        <f ca="1">IFERROR(__xludf.DUMMYFUNCTION("""COMPUTED_VALUE"""),"Апартаменты ")</f>
        <v xml:space="preserve">Апартаменты </v>
      </c>
      <c r="L6" s="18" t="str">
        <f ca="1">IFERROR(__xludf.DUMMYFUNCTION("""COMPUTED_VALUE"""),"28-106")</f>
        <v>28-106</v>
      </c>
      <c r="M6" s="20" t="str">
        <f ca="1">IFERROR(__xludf.DUMMYFUNCTION("""COMPUTED_VALUE"""),"2 квартал")</f>
        <v>2 квартал</v>
      </c>
      <c r="N6" s="21">
        <f ca="1">IFERROR(__xludf.DUMMYFUNCTION("""COMPUTED_VALUE"""),2027)</f>
        <v>2027</v>
      </c>
      <c r="O6" s="22">
        <f ca="1">IFERROR(__xludf.DUMMYFUNCTION("""COMPUTED_VALUE"""),800)</f>
        <v>800</v>
      </c>
      <c r="P6" s="23" t="str">
        <f ca="1">IFERROR(__xludf.DUMMYFUNCTION("""COMPUTED_VALUE"""),"За стоимость ремонта выплачивается половина комиссии")</f>
        <v>За стоимость ремонта выплачивается половина комиссии</v>
      </c>
      <c r="Q6" s="18"/>
      <c r="R6" s="24" t="str">
        <f ca="1">IFERROR(__xludf.DUMMYFUNCTION("""COMPUTED_VALUE"""),"Кобулети")</f>
        <v>Кобулети</v>
      </c>
      <c r="S6" s="22" t="str">
        <f ca="1">IFERROR(__xludf.DUMMYFUNCTION("""COMPUTED_VALUE""")," 1930$ (Block A Floor 25)")</f>
        <v xml:space="preserve"> 1930$ (Block A Floor 25)</v>
      </c>
      <c r="T6" s="25" t="str">
        <f ca="1">IFERROR(__xludf.DUMMYFUNCTION("""COMPUTED_VALUE"""),"28,36, 44")</f>
        <v>28,36, 44</v>
      </c>
      <c r="U6" s="23" t="str">
        <f ca="1">IFERROR(__xludf.DUMMYFUNCTION("""COMPUTED_VALUE"""),"Нет")</f>
        <v>Нет</v>
      </c>
      <c r="V6" s="19" t="str">
        <f ca="1">IFERROR(__xludf.DUMMYFUNCTION("""COMPUTED_VALUE"""),"Ссылка")</f>
        <v>Ссылка</v>
      </c>
      <c r="W6" s="18"/>
      <c r="X6" s="20" t="str">
        <f ca="1">IFERROR(__xludf.DUMMYFUNCTION("""COMPUTED_VALUE"""),"995 591 141 442 Ника")</f>
        <v>995 591 141 442 Ника</v>
      </c>
      <c r="Y6" s="26">
        <f ca="1">IFERROR(__xludf.DUMMYFUNCTION("""COMPUTED_VALUE"""),0.0402796610169491)</f>
        <v>4.0279661016949103E-2</v>
      </c>
      <c r="Z6" s="27">
        <f ca="1">IFERROR(__xludf.DUMMYFUNCTION("""COMPUTED_VALUE"""),0.047)</f>
        <v>4.7E-2</v>
      </c>
      <c r="AA6" s="28"/>
      <c r="AB6" s="28"/>
      <c r="AC6" s="28"/>
      <c r="AD6" s="28"/>
      <c r="AE6" s="28"/>
      <c r="AF6" s="28"/>
      <c r="AG6" s="28"/>
      <c r="AH6" s="28"/>
      <c r="AI6" s="28"/>
      <c r="AJ6" s="28"/>
    </row>
    <row r="7" spans="1:36" ht="409.6" thickBot="1" x14ac:dyDescent="0.3">
      <c r="A7" s="17" t="str">
        <f ca="1">IFERROR(__xludf.DUMMYFUNCTION("""COMPUTED_VALUE"""),"AMBASSADORI ")</f>
        <v xml:space="preserve">AMBASSADORI </v>
      </c>
      <c r="B7" s="19" t="str">
        <f ca="1">IFERROR(__xludf.DUMMYFUNCTION("""COMPUTED_VALUE"""),"Ambasadori Island, 1 башня")</f>
        <v>Ambasadori Island, 1 башня</v>
      </c>
      <c r="C7" s="18" t="str">
        <f ca="1">IFERROR(__xludf.DUMMYFUNCTION("""COMPUTED_VALUE"""),"*100% payment in full — 10% discount
36-month installment plan:
 *80% downpayment &amp; 36 months installment
-9 % discount
 *80% downpayment &amp; 36 months installment
-8.5 % discount
*70% down payment and 36-month installment
— 8.5% discount
60% down p"&amp;"ayment and 36-month installment
— 8% discount
*50% down payment and 36-month installment
— 7% discount
*45% down payment and 36-month installment
— 6% discount
*40% down payment and 36-month installment
— 5% discount
*30% down payment and 36-month"&amp;" installment
— 4% discount
*20% down payment and 36-month installment
— 2% discount
48-month installment plan:
 *80% downpayment &amp; 48 months installment
-8% discount
 *80% downpayment &amp; 48 months installment
-8.5 % discount
*70% down payment an"&amp;"d 48month installment
— 7% discount
60% down payment and 48-month installment
— 6% discount
*50% down payment and 48-month installment
— 5% discount
*45% down payment and 48-month installment
— 3% discount
*40% down payment and 48-month installmen"&amp;"t
— 2.5% discount
*30% down payment and 48-month installment
— 1% discount
*20% down payment and 48-month installment
— NO discount
Group discount for 5 or more apartments:
3.5%
Group purchase period limited to 4 weeks")</f>
        <v>*100% payment in full — 10% discount
36-month installment plan:
 *80% downpayment &amp; 36 months installment
-9 % discount
 *80% downpayment &amp; 36 months installment
-8.5 % discount
*70% down payment and 36-month installment
— 8.5% discount
60% down payment and 36-month installment
— 8% discount
*50% down payment and 36-month installment
— 7% discount
*45% down payment and 36-month installment
— 6% discount
*40% down payment and 36-month installment
— 5% discount
*30% down payment and 36-month installment
— 4% discount
*20% down payment and 36-month installment
— 2% discount
48-month installment plan:
 *80% downpayment &amp; 48 months installment
-8% discount
 *80% downpayment &amp; 48 months installment
-8.5 % discount
*70% down payment and 48month installment
— 7% discount
60% down payment and 48-month installment
— 6% discount
*50% down payment and 48-month installment
— 5% discount
*45% down payment and 48-month installment
— 3% discount
*40% down payment and 48-month installment
— 2.5% discount
*30% down payment and 48-month installment
— 1% discount
*20% down payment and 48-month installment
— NO discount
Group discount for 5 or more apartments:
3.5%
Group purchase period limited to 4 weeks</v>
      </c>
      <c r="D7" s="18" t="str">
        <f ca="1">IFERROR(__xludf.DUMMYFUNCTION("""COMPUTED_VALUE"""),"ПВ 20% - 50% комиссии, доходит до 30% - 100% комиссии. ПВ - 30% - 100% комиссии. Дата оплата комиссии 22 числа каждого месяца.")</f>
        <v>ПВ 20% - 50% комиссии, доходит до 30% - 100% комиссии. ПВ - 30% - 100% комиссии. Дата оплата комиссии 22 числа каждого месяца.</v>
      </c>
      <c r="E7" s="19" t="str">
        <f ca="1">IFERROR(__xludf.DUMMYFUNCTION("""COMPUTED_VALUE"""),"Ссылка")</f>
        <v>Ссылка</v>
      </c>
      <c r="F7" s="19" t="str">
        <f ca="1">IFERROR(__xludf.DUMMYFUNCTION("""COMPUTED_VALUE"""),"Ссылка")</f>
        <v>Ссылка</v>
      </c>
      <c r="G7" s="19" t="str">
        <f ca="1">IFERROR(__xludf.DUMMYFUNCTION("""COMPUTED_VALUE"""),"Ссылка")</f>
        <v>Ссылка</v>
      </c>
      <c r="H7" s="19" t="str">
        <f ca="1">IFERROR(__xludf.DUMMYFUNCTION("""COMPUTED_VALUE"""),"Гугл")</f>
        <v>Гугл</v>
      </c>
      <c r="I7" s="19" t="str">
        <f ca="1">IFERROR(__xludf.DUMMYFUNCTION("""COMPUTED_VALUE"""),"Через платформу")</f>
        <v>Через платформу</v>
      </c>
      <c r="J7" s="18" t="str">
        <f ca="1">IFERROR(__xludf.DUMMYFUNCTION("""COMPUTED_VALUE"""),"С ремонтом, без мягкой мебели")</f>
        <v>С ремонтом, без мягкой мебели</v>
      </c>
      <c r="K7" s="18" t="str">
        <f ca="1">IFERROR(__xludf.DUMMYFUNCTION("""COMPUTED_VALUE"""),"Апартаменты ")</f>
        <v xml:space="preserve">Апартаменты </v>
      </c>
      <c r="L7" s="18" t="str">
        <f ca="1">IFERROR(__xludf.DUMMYFUNCTION("""COMPUTED_VALUE"""),"37-109")</f>
        <v>37-109</v>
      </c>
      <c r="M7" s="20" t="str">
        <f ca="1">IFERROR(__xludf.DUMMYFUNCTION("""COMPUTED_VALUE"""),"февраль")</f>
        <v>февраль</v>
      </c>
      <c r="N7" s="21">
        <f ca="1">IFERROR(__xludf.DUMMYFUNCTION("""COMPUTED_VALUE"""),2029)</f>
        <v>2029</v>
      </c>
      <c r="O7" s="22" t="str">
        <f ca="1">IFERROR(__xludf.DUMMYFUNCTION("""COMPUTED_VALUE"""),"Индивидуально, пока не предлагают")</f>
        <v>Индивидуально, пока не предлагают</v>
      </c>
      <c r="P7" s="23" t="str">
        <f ca="1">IFERROR(__xludf.DUMMYFUNCTION("""COMPUTED_VALUE"""),"За ремонт комиссия не выплачивается")</f>
        <v>За ремонт комиссия не выплачивается</v>
      </c>
      <c r="Q7" s="18"/>
      <c r="R7" s="24" t="str">
        <f ca="1">IFERROR(__xludf.DUMMYFUNCTION("""COMPUTED_VALUE"""),"Батуми")</f>
        <v>Батуми</v>
      </c>
      <c r="S7" s="22" t="str">
        <f ca="1">IFERROR(__xludf.DUMMYFUNCTION("""COMPUTED_VALUE"""),"2822$ (Floor 1)")</f>
        <v>2822$ (Floor 1)</v>
      </c>
      <c r="T7" s="25">
        <f ca="1">IFERROR(__xludf.DUMMYFUNCTION("""COMPUTED_VALUE"""),58)</f>
        <v>58</v>
      </c>
      <c r="U7" s="23" t="str">
        <f ca="1">IFERROR(__xludf.DUMMYFUNCTION("""COMPUTED_VALUE"""),"Нет")</f>
        <v>Нет</v>
      </c>
      <c r="V7" s="19" t="str">
        <f ca="1">IFERROR(__xludf.DUMMYFUNCTION("""COMPUTED_VALUE"""),"Ссылка")</f>
        <v>Ссылка</v>
      </c>
      <c r="W7" s="18"/>
      <c r="X7" s="20" t="str">
        <f ca="1">IFERROR(__xludf.DUMMYFUNCTION("""COMPUTED_VALUE"""),"995 557 108 448 Афина(РОП)
+995 511 44 44 31 Мариям")</f>
        <v>995 557 108 448 Афина(РОП)
+995 511 44 44 31 Мариям</v>
      </c>
      <c r="Y7" s="26">
        <f ca="1">IFERROR(__xludf.DUMMYFUNCTION("""COMPUTED_VALUE"""),0.042)</f>
        <v>4.2000000000000003E-2</v>
      </c>
      <c r="Z7" s="27">
        <f ca="1">IFERROR(__xludf.DUMMYFUNCTION("""COMPUTED_VALUE"""),0.05)</f>
        <v>0.05</v>
      </c>
      <c r="AA7" s="28"/>
      <c r="AB7" s="28"/>
      <c r="AC7" s="28"/>
      <c r="AD7" s="28"/>
      <c r="AE7" s="28"/>
      <c r="AF7" s="28"/>
      <c r="AG7" s="28"/>
      <c r="AH7" s="28"/>
      <c r="AI7" s="28"/>
      <c r="AJ7" s="28"/>
    </row>
    <row r="8" spans="1:36" ht="105.75" thickBot="1" x14ac:dyDescent="0.3">
      <c r="A8" s="17" t="str">
        <f ca="1">IFERROR(__xludf.DUMMYFUNCTION("""COMPUTED_VALUE"""),"ARTEX")</f>
        <v>ARTEX</v>
      </c>
      <c r="B8" s="18" t="str">
        <f ca="1">IFERROR(__xludf.DUMMYFUNCTION("""COMPUTED_VALUE"""),"Parkline")</f>
        <v>Parkline</v>
      </c>
      <c r="C8" s="18" t="str">
        <f ca="1">IFERROR(__xludf.DUMMYFUNCTION("""COMPUTED_VALUE"""),"ПВ  20%, рассрочка по декабрь 2029 ( 45 месяцев)")</f>
        <v>ПВ  20%, рассрочка по декабрь 2029 ( 45 месяцев)</v>
      </c>
      <c r="D8" s="18" t="str">
        <f ca="1">IFERROR(__xludf.DUMMYFUNCTION("""COMPUTED_VALUE"""),"ПВ 20% - 50% комиссии, ПВ 30% - 100% комиссии.")</f>
        <v>ПВ 20% - 50% комиссии, ПВ 30% - 100% комиссии.</v>
      </c>
      <c r="E8" s="18"/>
      <c r="F8" s="19" t="str">
        <f ca="1">IFERROR(__xludf.DUMMYFUNCTION("""COMPUTED_VALUE"""),"Ссылка")</f>
        <v>Ссылка</v>
      </c>
      <c r="G8" s="19" t="str">
        <f ca="1">IFERROR(__xludf.DUMMYFUNCTION("""COMPUTED_VALUE"""),"Ссылка")</f>
        <v>Ссылка</v>
      </c>
      <c r="H8" s="19" t="str">
        <f ca="1">IFERROR(__xludf.DUMMYFUNCTION("""COMPUTED_VALUE"""),"Яндекс")</f>
        <v>Яндекс</v>
      </c>
      <c r="I8" s="19" t="str">
        <f ca="1">IFERROR(__xludf.DUMMYFUNCTION("""COMPUTED_VALUE"""),"Ссылка")</f>
        <v>Ссылка</v>
      </c>
      <c r="J8" s="18" t="str">
        <f ca="1">IFERROR(__xludf.DUMMYFUNCTION("""COMPUTED_VALUE"""),"WF")</f>
        <v>WF</v>
      </c>
      <c r="K8" s="18" t="str">
        <f ca="1">IFERROR(__xludf.DUMMYFUNCTION("""COMPUTED_VALUE"""),"Жилой")</f>
        <v>Жилой</v>
      </c>
      <c r="L8" s="18" t="str">
        <f ca="1">IFERROR(__xludf.DUMMYFUNCTION("""COMPUTED_VALUE"""),"32-68")</f>
        <v>32-68</v>
      </c>
      <c r="M8" s="20" t="str">
        <f ca="1">IFERROR(__xludf.DUMMYFUNCTION("""COMPUTED_VALUE"""),"декабрь")</f>
        <v>декабрь</v>
      </c>
      <c r="N8" s="21">
        <f ca="1">IFERROR(__xludf.DUMMYFUNCTION("""COMPUTED_VALUE"""),2029)</f>
        <v>2029</v>
      </c>
      <c r="O8" s="22" t="str">
        <f ca="1">IFERROR(__xludf.DUMMYFUNCTION("""COMPUTED_VALUE"""),"700$-800$ turnkey предварительно, на данный момент не предлагаем")</f>
        <v>700$-800$ turnkey предварительно, на данный момент не предлагаем</v>
      </c>
      <c r="P8" s="23" t="str">
        <f ca="1">IFERROR(__xludf.DUMMYFUNCTION("""COMPUTED_VALUE"""),"Пока ремонт не предлагают")</f>
        <v>Пока ремонт не предлагают</v>
      </c>
      <c r="Q8" s="29">
        <f ca="1">IFERROR(__xludf.DUMMYFUNCTION("""COMPUTED_VALUE"""),0.1)</f>
        <v>0.1</v>
      </c>
      <c r="R8" s="24" t="str">
        <f ca="1">IFERROR(__xludf.DUMMYFUNCTION("""COMPUTED_VALUE"""),"Батуми")</f>
        <v>Батуми</v>
      </c>
      <c r="S8" s="22" t="str">
        <f ca="1">IFERROR(__xludf.DUMMYFUNCTION("""COMPUTED_VALUE"""),"1210$ (Floor 9)")</f>
        <v>1210$ (Floor 9)</v>
      </c>
      <c r="T8" s="25" t="str">
        <f ca="1">IFERROR(__xludf.DUMMYFUNCTION("""COMPUTED_VALUE"""),"24, 26")</f>
        <v>24, 26</v>
      </c>
      <c r="U8" s="23" t="str">
        <f ca="1">IFERROR(__xludf.DUMMYFUNCTION("""COMPUTED_VALUE"""),"Нет")</f>
        <v>Нет</v>
      </c>
      <c r="V8" s="30" t="str">
        <f ca="1">IFERROR(__xludf.DUMMYFUNCTION("""COMPUTED_VALUE"""),"Ссылка")</f>
        <v>Ссылка</v>
      </c>
      <c r="W8" s="18"/>
      <c r="X8" s="20" t="str">
        <f ca="1">IFERROR(__xludf.DUMMYFUNCTION("""COMPUTED_VALUE"""),"995 544 220 000 Нани")</f>
        <v>995 544 220 000 Нани</v>
      </c>
      <c r="Y8" s="26">
        <f ca="1">IFERROR(__xludf.DUMMYFUNCTION("""COMPUTED_VALUE"""),0.057)</f>
        <v>5.7000000000000002E-2</v>
      </c>
      <c r="Z8" s="27">
        <f ca="1">IFERROR(__xludf.DUMMYFUNCTION("""COMPUTED_VALUE"""),0.067)</f>
        <v>6.7000000000000004E-2</v>
      </c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 spans="1:36" ht="105.75" thickBot="1" x14ac:dyDescent="0.3">
      <c r="A9" s="17" t="str">
        <f ca="1">IFERROR(__xludf.DUMMYFUNCTION("""COMPUTED_VALUE"""),"BATMSHENI")</f>
        <v>BATMSHENI</v>
      </c>
      <c r="B9" s="18" t="str">
        <f ca="1">IFERROR(__xludf.DUMMYFUNCTION("""COMPUTED_VALUE"""),"Intourist (Пиросмани 17)")</f>
        <v>Intourist (Пиросмани 17)</v>
      </c>
      <c r="C9" s="18" t="str">
        <f ca="1">IFERROR(__xludf.DUMMYFUNCTION("""COMPUTED_VALUE"""),"
Готовые блоки А,Б. 50%, 24 месяца на рассрочку на все")</f>
        <v xml:space="preserve">
Готовые блоки А,Б. 50%, 24 месяца на рассрочку на все</v>
      </c>
      <c r="D9" s="18" t="str">
        <f ca="1">IFERROR(__xludf.DUMMYFUNCTION("""COMPUTED_VALUE"""),"ПВ 30% - 100% комиссии")</f>
        <v>ПВ 30% - 100% комиссии</v>
      </c>
      <c r="E9" s="19" t="str">
        <f ca="1">IFERROR(__xludf.DUMMYFUNCTION("""COMPUTED_VALUE"""),"Ссылка")</f>
        <v>Ссылка</v>
      </c>
      <c r="F9" s="19" t="str">
        <f ca="1">IFERROR(__xludf.DUMMYFUNCTION("""COMPUTED_VALUE"""),"Ссылка")</f>
        <v>Ссылка</v>
      </c>
      <c r="G9" s="19" t="str">
        <f ca="1">IFERROR(__xludf.DUMMYFUNCTION("""COMPUTED_VALUE"""),"Ссылка")</f>
        <v>Ссылка</v>
      </c>
      <c r="H9" s="19" t="str">
        <f ca="1">IFERROR(__xludf.DUMMYFUNCTION("""COMPUTED_VALUE"""),"Яндекс")</f>
        <v>Яндекс</v>
      </c>
      <c r="I9" s="19" t="str">
        <f ca="1">IFERROR(__xludf.DUMMYFUNCTION("""COMPUTED_VALUE"""),"Ссылка")</f>
        <v>Ссылка</v>
      </c>
      <c r="J9" s="18" t="str">
        <f ca="1">IFERROR(__xludf.DUMMYFUNCTION("""COMPUTED_VALUE"""),"BF")</f>
        <v>BF</v>
      </c>
      <c r="K9" s="18" t="str">
        <f ca="1">IFERROR(__xludf.DUMMYFUNCTION("""COMPUTED_VALUE"""),"Жилой")</f>
        <v>Жилой</v>
      </c>
      <c r="L9" s="18" t="str">
        <f ca="1">IFERROR(__xludf.DUMMYFUNCTION("""COMPUTED_VALUE"""),"31-95")</f>
        <v>31-95</v>
      </c>
      <c r="M9" s="20" t="str">
        <f ca="1">IFERROR(__xludf.DUMMYFUNCTION("""COMPUTED_VALUE"""),"август")</f>
        <v>август</v>
      </c>
      <c r="N9" s="21" t="str">
        <f ca="1">IFERROR(__xludf.DUMMYFUNCTION("""COMPUTED_VALUE"""),"Сдан")</f>
        <v>Сдан</v>
      </c>
      <c r="O9" s="22" t="str">
        <f ca="1">IFERROR(__xludf.DUMMYFUNCTION("""COMPUTED_VALUE"""),"120$ WF, 400$ GF,  700$ turnkey")</f>
        <v>120$ WF, 400$ GF,  700$ turnkey</v>
      </c>
      <c r="P9" s="23" t="str">
        <f ca="1">IFERROR(__xludf.DUMMYFUNCTION("""COMPUTED_VALUE"""),"Выплачивается в полном размере, если докупить ремонт после, обращаться к Роину")</f>
        <v>Выплачивается в полном размере, если докупить ремонт после, обращаться к Роину</v>
      </c>
      <c r="Q9" s="18"/>
      <c r="R9" s="24" t="str">
        <f ca="1">IFERROR(__xludf.DUMMYFUNCTION("""COMPUTED_VALUE"""),"Батуми")</f>
        <v>Батуми</v>
      </c>
      <c r="S9" s="22" t="str">
        <f ca="1">IFERROR(__xludf.DUMMYFUNCTION("""COMPUTED_VALUE"""),"1 550$")</f>
        <v>1 550$</v>
      </c>
      <c r="T9" s="25">
        <f ca="1">IFERROR(__xludf.DUMMYFUNCTION("""COMPUTED_VALUE"""),45)</f>
        <v>45</v>
      </c>
      <c r="U9" s="23" t="str">
        <f ca="1">IFERROR(__xludf.DUMMYFUNCTION("""COMPUTED_VALUE"""),"В готовых блоках самостоятельно, в стройке нет")</f>
        <v>В готовых блоках самостоятельно, в стройке нет</v>
      </c>
      <c r="V9" s="19" t="str">
        <f ca="1">IFERROR(__xludf.DUMMYFUNCTION("""COMPUTED_VALUE"""),"Ссылка")</f>
        <v>Ссылка</v>
      </c>
      <c r="W9" s="18"/>
      <c r="X9" s="20" t="str">
        <f ca="1">IFERROR(__xludf.DUMMYFUNCTION("""COMPUTED_VALUE"""),"995 557 304 040 Ирма")</f>
        <v>995 557 304 040 Ирма</v>
      </c>
      <c r="Y9" s="26">
        <f ca="1">IFERROR(__xludf.DUMMYFUNCTION("""COMPUTED_VALUE"""),0.05)</f>
        <v>0.05</v>
      </c>
      <c r="Z9" s="27">
        <f ca="1">IFERROR(__xludf.DUMMYFUNCTION("""COMPUTED_VALUE"""),0.059)</f>
        <v>5.8999999999999997E-2</v>
      </c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 spans="1:36" ht="105.75" thickBot="1" x14ac:dyDescent="0.3">
      <c r="A10" s="17" t="str">
        <f ca="1">IFERROR(__xludf.DUMMYFUNCTION("""COMPUTED_VALUE"""),"BATMSHENI")</f>
        <v>BATMSHENI</v>
      </c>
      <c r="B10" s="18" t="str">
        <f ca="1">IFERROR(__xludf.DUMMYFUNCTION("""COMPUTED_VALUE"""),"Intourist (Пиросмани 15)")</f>
        <v>Intourist (Пиросмани 15)</v>
      </c>
      <c r="C10" s="18" t="str">
        <f ca="1">IFERROR(__xludf.DUMMYFUNCTION("""COMPUTED_VALUE"""),"
30% ПВ + 50 месяцев рассрочки")</f>
        <v xml:space="preserve">
30% ПВ + 50 месяцев рассрочки</v>
      </c>
      <c r="D10" s="18" t="str">
        <f ca="1">IFERROR(__xludf.DUMMYFUNCTION("""COMPUTED_VALUE"""),"ПВ 30% - 100% комиссии")</f>
        <v>ПВ 30% - 100% комиссии</v>
      </c>
      <c r="E10" s="19" t="str">
        <f ca="1">IFERROR(__xludf.DUMMYFUNCTION("""COMPUTED_VALUE"""),"Ссылка")</f>
        <v>Ссылка</v>
      </c>
      <c r="F10" s="19" t="str">
        <f ca="1">IFERROR(__xludf.DUMMYFUNCTION("""COMPUTED_VALUE"""),"Ссылка")</f>
        <v>Ссылка</v>
      </c>
      <c r="G10" s="19" t="str">
        <f ca="1">IFERROR(__xludf.DUMMYFUNCTION("""COMPUTED_VALUE"""),"Ссылка")</f>
        <v>Ссылка</v>
      </c>
      <c r="H10" s="19" t="str">
        <f ca="1">IFERROR(__xludf.DUMMYFUNCTION("""COMPUTED_VALUE"""),"Яндекс")</f>
        <v>Яндекс</v>
      </c>
      <c r="I10" s="19" t="str">
        <f ca="1">IFERROR(__xludf.DUMMYFUNCTION("""COMPUTED_VALUE"""),"Ссылка")</f>
        <v>Ссылка</v>
      </c>
      <c r="J10" s="18" t="str">
        <f ca="1">IFERROR(__xludf.DUMMYFUNCTION("""COMPUTED_VALUE"""),"BF")</f>
        <v>BF</v>
      </c>
      <c r="K10" s="18" t="str">
        <f ca="1">IFERROR(__xludf.DUMMYFUNCTION("""COMPUTED_VALUE"""),"Жилой")</f>
        <v>Жилой</v>
      </c>
      <c r="L10" s="18" t="str">
        <f ca="1">IFERROR(__xludf.DUMMYFUNCTION("""COMPUTED_VALUE"""),"31-95")</f>
        <v>31-95</v>
      </c>
      <c r="M10" s="20" t="str">
        <f ca="1">IFERROR(__xludf.DUMMYFUNCTION("""COMPUTED_VALUE"""),"август")</f>
        <v>август</v>
      </c>
      <c r="N10" s="21">
        <f ca="1">IFERROR(__xludf.DUMMYFUNCTION("""COMPUTED_VALUE"""),2028)</f>
        <v>2028</v>
      </c>
      <c r="O10" s="22" t="str">
        <f ca="1">IFERROR(__xludf.DUMMYFUNCTION("""COMPUTED_VALUE"""),"120$ WF
400$ GF
700$ turnkey")</f>
        <v>120$ WF
400$ GF
700$ turnkey</v>
      </c>
      <c r="P10" s="23" t="str">
        <f ca="1">IFERROR(__xludf.DUMMYFUNCTION("""COMPUTED_VALUE"""),"Выплачивается в полном размере, если докупить ремонт после, обращаться к Роину")</f>
        <v>Выплачивается в полном размере, если докупить ремонт после, обращаться к Роину</v>
      </c>
      <c r="Q10" s="18"/>
      <c r="R10" s="24" t="str">
        <f ca="1">IFERROR(__xludf.DUMMYFUNCTION("""COMPUTED_VALUE"""),"Батуми")</f>
        <v>Батуми</v>
      </c>
      <c r="S10" s="22" t="str">
        <f ca="1">IFERROR(__xludf.DUMMYFUNCTION("""COMPUTED_VALUE"""),"1 300$ ")</f>
        <v xml:space="preserve">1 300$ </v>
      </c>
      <c r="T10" s="25">
        <f ca="1">IFERROR(__xludf.DUMMYFUNCTION("""COMPUTED_VALUE"""),45)</f>
        <v>45</v>
      </c>
      <c r="U10" s="23" t="str">
        <f ca="1">IFERROR(__xludf.DUMMYFUNCTION("""COMPUTED_VALUE"""),"В готовых блоках самостоятельно, в стройке нет")</f>
        <v>В готовых блоках самостоятельно, в стройке нет</v>
      </c>
      <c r="V10" s="19" t="str">
        <f ca="1">IFERROR(__xludf.DUMMYFUNCTION("""COMPUTED_VALUE"""),"Ссылка")</f>
        <v>Ссылка</v>
      </c>
      <c r="W10" s="18"/>
      <c r="X10" s="20" t="str">
        <f ca="1">IFERROR(__xludf.DUMMYFUNCTION("""COMPUTED_VALUE"""),"995 557 304 040 Ирма")</f>
        <v>995 557 304 040 Ирма</v>
      </c>
      <c r="Y10" s="26">
        <f ca="1">IFERROR(__xludf.DUMMYFUNCTION("""COMPUTED_VALUE"""),0.05)</f>
        <v>0.05</v>
      </c>
      <c r="Z10" s="27">
        <f ca="1">IFERROR(__xludf.DUMMYFUNCTION("""COMPUTED_VALUE"""),0.059)</f>
        <v>5.8999999999999997E-2</v>
      </c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 spans="1:36" ht="45.75" thickBot="1" x14ac:dyDescent="0.3">
      <c r="A11" s="17" t="str">
        <f ca="1">IFERROR(__xludf.DUMMYFUNCTION("""COMPUTED_VALUE"""),"BATUMI TOWER")</f>
        <v>BATUMI TOWER</v>
      </c>
      <c r="B11" s="18" t="str">
        <f ca="1">IFERROR(__xludf.DUMMYFUNCTION("""COMPUTED_VALUE"""),"Batumi Tower (Le Meridian) ")</f>
        <v xml:space="preserve">Batumi Tower (Le Meridian) </v>
      </c>
      <c r="C11" s="18" t="str">
        <f ca="1">IFERROR(__xludf.DUMMYFUNCTION("""COMPUTED_VALUE"""),"100% Оплата, ПВ 50% на 6 месяцев. Скидки обсуждаются индивидуально")</f>
        <v>100% Оплата, ПВ 50% на 6 месяцев. Скидки обсуждаются индивидуально</v>
      </c>
      <c r="D11" s="18" t="str">
        <f ca="1">IFERROR(__xludf.DUMMYFUNCTION("""COMPUTED_VALUE"""),"С ПВ 50% - 100% комиссии")</f>
        <v>С ПВ 50% - 100% комиссии</v>
      </c>
      <c r="E11" s="18" t="str">
        <f ca="1">IFERROR(__xludf.DUMMYFUNCTION("""COMPUTED_VALUE"""),"-")</f>
        <v>-</v>
      </c>
      <c r="F11" s="18" t="str">
        <f ca="1">IFERROR(__xludf.DUMMYFUNCTION("""COMPUTED_VALUE"""),"-")</f>
        <v>-</v>
      </c>
      <c r="G11" s="19" t="str">
        <f ca="1">IFERROR(__xludf.DUMMYFUNCTION("""COMPUTED_VALUE"""),"Ссылка")</f>
        <v>Ссылка</v>
      </c>
      <c r="H11" s="19" t="str">
        <f ca="1">IFERROR(__xludf.DUMMYFUNCTION("""COMPUTED_VALUE"""),"Гугл")</f>
        <v>Гугл</v>
      </c>
      <c r="I11" s="19" t="str">
        <f ca="1">IFERROR(__xludf.DUMMYFUNCTION("""COMPUTED_VALUE"""),"Ссылка")</f>
        <v>Ссылка</v>
      </c>
      <c r="J11" s="18" t="str">
        <f ca="1">IFERROR(__xludf.DUMMYFUNCTION("""COMPUTED_VALUE"""),"WF")</f>
        <v>WF</v>
      </c>
      <c r="K11" s="18" t="str">
        <f ca="1">IFERROR(__xludf.DUMMYFUNCTION("""COMPUTED_VALUE"""),"Жилой")</f>
        <v>Жилой</v>
      </c>
      <c r="L11" s="18" t="str">
        <f ca="1">IFERROR(__xludf.DUMMYFUNCTION("""COMPUTED_VALUE"""),"67.5-228")</f>
        <v>67.5-228</v>
      </c>
      <c r="M11" s="20" t="str">
        <f ca="1">IFERROR(__xludf.DUMMYFUNCTION("""COMPUTED_VALUE"""),"-")</f>
        <v>-</v>
      </c>
      <c r="N11" s="21" t="str">
        <f ca="1">IFERROR(__xludf.DUMMYFUNCTION("""COMPUTED_VALUE"""),"Сдано")</f>
        <v>Сдано</v>
      </c>
      <c r="O11" s="22" t="str">
        <f ca="1">IFERROR(__xludf.DUMMYFUNCTION("""COMPUTED_VALUE"""),"1700 или 1200$")</f>
        <v>1700 или 1200$</v>
      </c>
      <c r="P11" s="23" t="str">
        <f ca="1">IFERROR(__xludf.DUMMYFUNCTION("""COMPUTED_VALUE"""),"-")</f>
        <v>-</v>
      </c>
      <c r="Q11" s="18"/>
      <c r="R11" s="24" t="str">
        <f ca="1">IFERROR(__xludf.DUMMYFUNCTION("""COMPUTED_VALUE"""),"Батуми")</f>
        <v>Батуми</v>
      </c>
      <c r="S11" s="22">
        <f ca="1">IFERROR(__xludf.DUMMYFUNCTION("""COMPUTED_VALUE"""),3600)</f>
        <v>3600</v>
      </c>
      <c r="T11" s="25">
        <f ca="1">IFERROR(__xludf.DUMMYFUNCTION("""COMPUTED_VALUE"""),35)</f>
        <v>35</v>
      </c>
      <c r="U11" s="23" t="str">
        <f ca="1">IFERROR(__xludf.DUMMYFUNCTION("""COMPUTED_VALUE"""),"Самостоятельно")</f>
        <v>Самостоятельно</v>
      </c>
      <c r="V11" s="18" t="str">
        <f ca="1">IFERROR(__xludf.DUMMYFUNCTION("""COMPUTED_VALUE"""),"-")</f>
        <v>-</v>
      </c>
      <c r="W11" s="18"/>
      <c r="X11" s="20" t="str">
        <f ca="1">IFERROR(__xludf.DUMMYFUNCTION("""COMPUTED_VALUE"""),"7 775 080 9489 Карла")</f>
        <v>7 775 080 9489 Карла</v>
      </c>
      <c r="Y11" s="26">
        <f ca="1">IFERROR(__xludf.DUMMYFUNCTION("""COMPUTED_VALUE"""),0.02)</f>
        <v>0.02</v>
      </c>
      <c r="Z11" s="27" t="str">
        <f ca="1">IFERROR(__xludf.DUMMYFUNCTION("""COMPUTED_VALUE"""),"2.35%")</f>
        <v>2.35%</v>
      </c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 spans="1:36" ht="60.75" thickBot="1" x14ac:dyDescent="0.3">
      <c r="A12" s="17" t="str">
        <f ca="1">IFERROR(__xludf.DUMMYFUNCTION("""COMPUTED_VALUE"""),"ELT BUILDING")</f>
        <v>ELT BUILDING</v>
      </c>
      <c r="B12" s="18" t="str">
        <f ca="1">IFERROR(__xludf.DUMMYFUNCTION("""COMPUTED_VALUE"""),"Barcelo Tbilisi (блок А)")</f>
        <v>Barcelo Tbilisi (блок А)</v>
      </c>
      <c r="C12" s="18" t="str">
        <f ca="1">IFERROR(__xludf.DUMMYFUNCTION("""COMPUTED_VALUE"""),"30/40/30 на Tbilisi.  До декабря 2027 года")</f>
        <v>30/40/30 на Tbilisi.  До декабря 2027 года</v>
      </c>
      <c r="D12" s="18" t="str">
        <f ca="1">IFERROR(__xludf.DUMMYFUNCTION("""COMPUTED_VALUE"""),"ПВ 30% - 100% комиссии")</f>
        <v>ПВ 30% - 100% комиссии</v>
      </c>
      <c r="E12" s="19" t="str">
        <f ca="1">IFERROR(__xludf.DUMMYFUNCTION("""COMPUTED_VALUE"""),"Ссылка")</f>
        <v>Ссылка</v>
      </c>
      <c r="F12" s="19" t="str">
        <f ca="1">IFERROR(__xludf.DUMMYFUNCTION("""COMPUTED_VALUE"""),"Ссылка")</f>
        <v>Ссылка</v>
      </c>
      <c r="G12" s="19" t="str">
        <f ca="1">IFERROR(__xludf.DUMMYFUNCTION("""COMPUTED_VALUE"""),"Ссылка")</f>
        <v>Ссылка</v>
      </c>
      <c r="H12" s="19" t="str">
        <f ca="1">IFERROR(__xludf.DUMMYFUNCTION("""COMPUTED_VALUE"""),"Яндекс")</f>
        <v>Яндекс</v>
      </c>
      <c r="I12" s="19" t="str">
        <f ca="1">IFERROR(__xludf.DUMMYFUNCTION("""COMPUTED_VALUE"""),"Ссылка")</f>
        <v>Ссылка</v>
      </c>
      <c r="J12" s="18" t="str">
        <f ca="1">IFERROR(__xludf.DUMMYFUNCTION("""COMPUTED_VALUE"""),"Блок A Turnkey
Блок B WF")</f>
        <v>Блок A Turnkey
Блок B WF</v>
      </c>
      <c r="K12" s="18" t="str">
        <f ca="1">IFERROR(__xludf.DUMMYFUNCTION("""COMPUTED_VALUE"""),"Апартаменты")</f>
        <v>Апартаменты</v>
      </c>
      <c r="L12" s="18" t="str">
        <f ca="1">IFERROR(__xludf.DUMMYFUNCTION("""COMPUTED_VALUE"""),"30-234")</f>
        <v>30-234</v>
      </c>
      <c r="M12" s="20" t="str">
        <f ca="1">IFERROR(__xludf.DUMMYFUNCTION("""COMPUTED_VALUE"""),"1 квартал")</f>
        <v>1 квартал</v>
      </c>
      <c r="N12" s="21">
        <f ca="1">IFERROR(__xludf.DUMMYFUNCTION("""COMPUTED_VALUE"""),2028)</f>
        <v>2028</v>
      </c>
      <c r="O12" s="22" t="str">
        <f ca="1">IFERROR(__xludf.DUMMYFUNCTION("""COMPUTED_VALUE"""),"700$")</f>
        <v>700$</v>
      </c>
      <c r="P12" s="23" t="str">
        <f ca="1">IFERROR(__xludf.DUMMYFUNCTION("""COMPUTED_VALUE"""),"Выплачивается в полном размере")</f>
        <v>Выплачивается в полном размере</v>
      </c>
      <c r="Q12" s="18"/>
      <c r="R12" s="24" t="str">
        <f ca="1">IFERROR(__xludf.DUMMYFUNCTION("""COMPUTED_VALUE"""),"Тбилиси")</f>
        <v>Тбилиси</v>
      </c>
      <c r="S12" s="22" t="str">
        <f ca="1">IFERROR(__xludf.DUMMYFUNCTION("""COMPUTED_VALUE"""),"1 250$ WF")</f>
        <v>1 250$ WF</v>
      </c>
      <c r="T12" s="25">
        <f ca="1">IFERROR(__xludf.DUMMYFUNCTION("""COMPUTED_VALUE"""),22)</f>
        <v>22</v>
      </c>
      <c r="U12" s="23" t="str">
        <f ca="1">IFERROR(__xludf.DUMMYFUNCTION("""COMPUTED_VALUE"""),"Нет")</f>
        <v>Нет</v>
      </c>
      <c r="V12" s="18" t="str">
        <f ca="1">IFERROR(__xludf.DUMMYFUNCTION("""COMPUTED_VALUE"""),"-")</f>
        <v>-</v>
      </c>
      <c r="W12" s="18"/>
      <c r="X12" s="20" t="str">
        <f ca="1">IFERROR(__xludf.DUMMYFUNCTION("""COMPUTED_VALUE"""),"995 514 222 255 Григол, Джули 995 514 222 244, Нино 995 514 222 233")</f>
        <v>995 514 222 255 Григол, Джули 995 514 222 244, Нино 995 514 222 233</v>
      </c>
      <c r="Y12" s="26">
        <f ca="1">IFERROR(__xludf.DUMMYFUNCTION("""COMPUTED_VALUE"""),0.057)</f>
        <v>5.7000000000000002E-2</v>
      </c>
      <c r="Z12" s="27">
        <f ca="1">IFERROR(__xludf.DUMMYFUNCTION("""COMPUTED_VALUE"""),0.067)</f>
        <v>6.7000000000000004E-2</v>
      </c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 spans="1:36" ht="60.75" thickBot="1" x14ac:dyDescent="0.3">
      <c r="A13" s="17" t="str">
        <f ca="1">IFERROR(__xludf.DUMMYFUNCTION("""COMPUTED_VALUE"""),"ELT BUILDING")</f>
        <v>ELT BUILDING</v>
      </c>
      <c r="B13" s="18" t="str">
        <f ca="1">IFERROR(__xludf.DUMMYFUNCTION("""COMPUTED_VALUE"""),"Barcelo Tbilisi ( блок В)")</f>
        <v>Barcelo Tbilisi ( блок В)</v>
      </c>
      <c r="C13" s="18" t="str">
        <f ca="1">IFERROR(__xludf.DUMMYFUNCTION("""COMPUTED_VALUE"""),"30/40/30 на Tbilisi.  До декабря 2027 года")</f>
        <v>30/40/30 на Tbilisi.  До декабря 2027 года</v>
      </c>
      <c r="D13" s="18" t="str">
        <f ca="1">IFERROR(__xludf.DUMMYFUNCTION("""COMPUTED_VALUE"""),"ПВ 30% - 100% комиссии")</f>
        <v>ПВ 30% - 100% комиссии</v>
      </c>
      <c r="E13" s="19" t="str">
        <f ca="1">IFERROR(__xludf.DUMMYFUNCTION("""COMPUTED_VALUE"""),"Ссылка")</f>
        <v>Ссылка</v>
      </c>
      <c r="F13" s="19" t="str">
        <f ca="1">IFERROR(__xludf.DUMMYFUNCTION("""COMPUTED_VALUE"""),"Ссылка")</f>
        <v>Ссылка</v>
      </c>
      <c r="G13" s="19" t="str">
        <f ca="1">IFERROR(__xludf.DUMMYFUNCTION("""COMPUTED_VALUE"""),"Ссылка")</f>
        <v>Ссылка</v>
      </c>
      <c r="H13" s="19" t="str">
        <f ca="1">IFERROR(__xludf.DUMMYFUNCTION("""COMPUTED_VALUE"""),"Яндекс")</f>
        <v>Яндекс</v>
      </c>
      <c r="I13" s="19" t="str">
        <f ca="1">IFERROR(__xludf.DUMMYFUNCTION("""COMPUTED_VALUE"""),"Ссылка")</f>
        <v>Ссылка</v>
      </c>
      <c r="J13" s="18" t="str">
        <f ca="1">IFERROR(__xludf.DUMMYFUNCTION("""COMPUTED_VALUE"""),"Блок A Turnkey
Блок B WF")</f>
        <v>Блок A Turnkey
Блок B WF</v>
      </c>
      <c r="K13" s="18" t="str">
        <f ca="1">IFERROR(__xludf.DUMMYFUNCTION("""COMPUTED_VALUE"""),"Апартаменты")</f>
        <v>Апартаменты</v>
      </c>
      <c r="L13" s="18" t="str">
        <f ca="1">IFERROR(__xludf.DUMMYFUNCTION("""COMPUTED_VALUE"""),"30-234")</f>
        <v>30-234</v>
      </c>
      <c r="M13" s="20" t="str">
        <f ca="1">IFERROR(__xludf.DUMMYFUNCTION("""COMPUTED_VALUE"""),"1 квартал")</f>
        <v>1 квартал</v>
      </c>
      <c r="N13" s="21">
        <f ca="1">IFERROR(__xludf.DUMMYFUNCTION("""COMPUTED_VALUE"""),2028)</f>
        <v>2028</v>
      </c>
      <c r="O13" s="22" t="str">
        <f ca="1">IFERROR(__xludf.DUMMYFUNCTION("""COMPUTED_VALUE"""),"700$")</f>
        <v>700$</v>
      </c>
      <c r="P13" s="23" t="str">
        <f ca="1">IFERROR(__xludf.DUMMYFUNCTION("""COMPUTED_VALUE"""),"Выплачивается в полном размере")</f>
        <v>Выплачивается в полном размере</v>
      </c>
      <c r="Q13" s="18"/>
      <c r="R13" s="24" t="str">
        <f ca="1">IFERROR(__xludf.DUMMYFUNCTION("""COMPUTED_VALUE"""),"Тбилиси")</f>
        <v>Тбилиси</v>
      </c>
      <c r="S13" s="22" t="str">
        <f ca="1">IFERROR(__xludf.DUMMYFUNCTION("""COMPUTED_VALUE"""),"1 250$ WF")</f>
        <v>1 250$ WF</v>
      </c>
      <c r="T13" s="25">
        <f ca="1">IFERROR(__xludf.DUMMYFUNCTION("""COMPUTED_VALUE"""),22)</f>
        <v>22</v>
      </c>
      <c r="U13" s="23" t="str">
        <f ca="1">IFERROR(__xludf.DUMMYFUNCTION("""COMPUTED_VALUE"""),"Нет")</f>
        <v>Нет</v>
      </c>
      <c r="V13" s="18" t="str">
        <f ca="1">IFERROR(__xludf.DUMMYFUNCTION("""COMPUTED_VALUE"""),"-")</f>
        <v>-</v>
      </c>
      <c r="W13" s="18"/>
      <c r="X13" s="20" t="str">
        <f ca="1">IFERROR(__xludf.DUMMYFUNCTION("""COMPUTED_VALUE"""),"995 514 222 255 Григол, Джули 995 514 222 244, Нино 995 514 222 233")</f>
        <v>995 514 222 255 Григол, Джули 995 514 222 244, Нино 995 514 222 233</v>
      </c>
      <c r="Y13" s="26">
        <f ca="1">IFERROR(__xludf.DUMMYFUNCTION("""COMPUTED_VALUE"""),0.028)</f>
        <v>2.8000000000000001E-2</v>
      </c>
      <c r="Z13" s="27">
        <f ca="1">IFERROR(__xludf.DUMMYFUNCTION("""COMPUTED_VALUE"""),0.033)</f>
        <v>3.3000000000000002E-2</v>
      </c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 spans="1:36" ht="90.75" thickBot="1" x14ac:dyDescent="0.3">
      <c r="A14" s="17" t="str">
        <f ca="1">IFERROR(__xludf.DUMMYFUNCTION("""COMPUTED_VALUE"""),"ELT BUILDING")</f>
        <v>ELT BUILDING</v>
      </c>
      <c r="B14" s="18" t="str">
        <f ca="1">IFERROR(__xludf.DUMMYFUNCTION("""COMPUTED_VALUE"""),"Marina Club")</f>
        <v>Marina Club</v>
      </c>
      <c r="C14" s="18" t="str">
        <f ca="1">IFERROR(__xludf.DUMMYFUNCTION("""COMPUTED_VALUE"""),"ПВ 30%, рассрочка по май 2026")</f>
        <v>ПВ 30%, рассрочка по май 2026</v>
      </c>
      <c r="D14" s="18" t="str">
        <f ca="1">IFERROR(__xludf.DUMMYFUNCTION("""COMPUTED_VALUE"""),"ПВ 30% - 100% комиссии")</f>
        <v>ПВ 30% - 100% комиссии</v>
      </c>
      <c r="E14" s="19" t="str">
        <f ca="1">IFERROR(__xludf.DUMMYFUNCTION("""COMPUTED_VALUE"""),"Ссылка")</f>
        <v>Ссылка</v>
      </c>
      <c r="F14" s="19" t="str">
        <f ca="1">IFERROR(__xludf.DUMMYFUNCTION("""COMPUTED_VALUE"""),"Ссылка")</f>
        <v>Ссылка</v>
      </c>
      <c r="G14" s="19" t="str">
        <f ca="1">IFERROR(__xludf.DUMMYFUNCTION("""COMPUTED_VALUE"""),"Ссылка")</f>
        <v>Ссылка</v>
      </c>
      <c r="H14" s="19" t="str">
        <f ca="1">IFERROR(__xludf.DUMMYFUNCTION("""COMPUTED_VALUE"""),"Яндекс")</f>
        <v>Яндекс</v>
      </c>
      <c r="I14" s="19" t="str">
        <f ca="1">IFERROR(__xludf.DUMMYFUNCTION("""COMPUTED_VALUE"""),"Ссылка")</f>
        <v>Ссылка</v>
      </c>
      <c r="J14" s="18" t="str">
        <f ca="1">IFERROR(__xludf.DUMMYFUNCTION("""COMPUTED_VALUE"""),"WF")</f>
        <v>WF</v>
      </c>
      <c r="K14" s="18" t="str">
        <f ca="1">IFERROR(__xludf.DUMMYFUNCTION("""COMPUTED_VALUE"""),"Апартаменты")</f>
        <v>Апартаменты</v>
      </c>
      <c r="L14" s="18" t="str">
        <f ca="1">IFERROR(__xludf.DUMMYFUNCTION("""COMPUTED_VALUE"""),"34-397")</f>
        <v>34-397</v>
      </c>
      <c r="M14" s="20" t="str">
        <f ca="1">IFERROR(__xludf.DUMMYFUNCTION("""COMPUTED_VALUE"""),"4 квартал")</f>
        <v>4 квартал</v>
      </c>
      <c r="N14" s="21">
        <f ca="1">IFERROR(__xludf.DUMMYFUNCTION("""COMPUTED_VALUE"""),2025)</f>
        <v>2025</v>
      </c>
      <c r="O14" s="22" t="str">
        <f ca="1">IFERROR(__xludf.DUMMYFUNCTION("""COMPUTED_VALUE"""),"550$ GF
700$ turnkey")</f>
        <v>550$ GF
700$ turnkey</v>
      </c>
      <c r="P14" s="23" t="str">
        <f ca="1">IFERROR(__xludf.DUMMYFUNCTION("""COMPUTED_VALUE"""),"Выплачивается в полном размере, если сразу покупать с ремонтом")</f>
        <v>Выплачивается в полном размере, если сразу покупать с ремонтом</v>
      </c>
      <c r="Q14" s="18"/>
      <c r="R14" s="24" t="str">
        <f ca="1">IFERROR(__xludf.DUMMYFUNCTION("""COMPUTED_VALUE"""),"Батуми")</f>
        <v>Батуми</v>
      </c>
      <c r="S14" s="22" t="str">
        <f ca="1">IFERROR(__xludf.DUMMYFUNCTION("""COMPUTED_VALUE"""),"1 010$ WF")</f>
        <v>1 010$ WF</v>
      </c>
      <c r="T14" s="25" t="str">
        <f ca="1">IFERROR(__xludf.DUMMYFUNCTION("""COMPUTED_VALUE"""),"16, 18")</f>
        <v>16, 18</v>
      </c>
      <c r="U14" s="23" t="str">
        <f ca="1">IFERROR(__xludf.DUMMYFUNCTION("""COMPUTED_VALUE"""),"Да")</f>
        <v>Да</v>
      </c>
      <c r="V14" s="18" t="str">
        <f ca="1">IFERROR(__xludf.DUMMYFUNCTION("""COMPUTED_VALUE"""),"-")</f>
        <v>-</v>
      </c>
      <c r="W14" s="18"/>
      <c r="X14" s="20" t="str">
        <f ca="1">IFERROR(__xludf.DUMMYFUNCTION("""COMPUTED_VALUE"""),"995 514 222 255 Григол, Джули 995 514 222 244, Нино 995 514 222 233")</f>
        <v>995 514 222 255 Григол, Джули 995 514 222 244, Нино 995 514 222 233</v>
      </c>
      <c r="Y14" s="26">
        <f ca="1">IFERROR(__xludf.DUMMYFUNCTION("""COMPUTED_VALUE"""),0.057)</f>
        <v>5.7000000000000002E-2</v>
      </c>
      <c r="Z14" s="27">
        <f ca="1">IFERROR(__xludf.DUMMYFUNCTION("""COMPUTED_VALUE"""),0.067)</f>
        <v>6.7000000000000004E-2</v>
      </c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 spans="1:36" ht="90.75" thickBot="1" x14ac:dyDescent="0.3">
      <c r="A15" s="17" t="str">
        <f ca="1">IFERROR(__xludf.DUMMYFUNCTION("""COMPUTED_VALUE"""),"ELT BUILDING")</f>
        <v>ELT BUILDING</v>
      </c>
      <c r="B15" s="18" t="str">
        <f ca="1">IFERROR(__xludf.DUMMYFUNCTION("""COMPUTED_VALUE"""),"Status House")</f>
        <v>Status House</v>
      </c>
      <c r="C15" s="18" t="str">
        <f ca="1">IFERROR(__xludf.DUMMYFUNCTION("""COMPUTED_VALUE"""),"ПВ 20% , 28 месяцев рассрочка")</f>
        <v>ПВ 20% , 28 месяцев рассрочка</v>
      </c>
      <c r="D15" s="18" t="str">
        <f ca="1">IFERROR(__xludf.DUMMYFUNCTION("""COMPUTED_VALUE"""),"ПВ 30% - 100% комиссии")</f>
        <v>ПВ 30% - 100% комиссии</v>
      </c>
      <c r="E15" s="19" t="str">
        <f ca="1">IFERROR(__xludf.DUMMYFUNCTION("""COMPUTED_VALUE"""),"Ссылка")</f>
        <v>Ссылка</v>
      </c>
      <c r="F15" s="19" t="str">
        <f ca="1">IFERROR(__xludf.DUMMYFUNCTION("""COMPUTED_VALUE"""),"Ссылка")</f>
        <v>Ссылка</v>
      </c>
      <c r="G15" s="19" t="str">
        <f ca="1">IFERROR(__xludf.DUMMYFUNCTION("""COMPUTED_VALUE"""),"Ссылка")</f>
        <v>Ссылка</v>
      </c>
      <c r="H15" s="19" t="str">
        <f ca="1">IFERROR(__xludf.DUMMYFUNCTION("""COMPUTED_VALUE"""),"Яндекс")</f>
        <v>Яндекс</v>
      </c>
      <c r="I15" s="19" t="str">
        <f ca="1">IFERROR(__xludf.DUMMYFUNCTION("""COMPUTED_VALUE"""),"Ссылка (мы продаем с 10 этажа)")</f>
        <v>Ссылка (мы продаем с 10 этажа)</v>
      </c>
      <c r="J15" s="18" t="str">
        <f ca="1">IFERROR(__xludf.DUMMYFUNCTION("""COMPUTED_VALUE"""),"BF-WF")</f>
        <v>BF-WF</v>
      </c>
      <c r="K15" s="18" t="str">
        <f ca="1">IFERROR(__xludf.DUMMYFUNCTION("""COMPUTED_VALUE"""),"Апартаменты")</f>
        <v>Апартаменты</v>
      </c>
      <c r="L15" s="18" t="str">
        <f ca="1">IFERROR(__xludf.DUMMYFUNCTION("""COMPUTED_VALUE"""),"30-84")</f>
        <v>30-84</v>
      </c>
      <c r="M15" s="20" t="str">
        <f ca="1">IFERROR(__xludf.DUMMYFUNCTION("""COMPUTED_VALUE"""),"декабрь")</f>
        <v>декабрь</v>
      </c>
      <c r="N15" s="21">
        <f ca="1">IFERROR(__xludf.DUMMYFUNCTION("""COMPUTED_VALUE"""),2027)</f>
        <v>2027</v>
      </c>
      <c r="O15" s="22" t="str">
        <f ca="1">IFERROR(__xludf.DUMMYFUNCTION("""COMPUTED_VALUE"""),"700$ turnkey")</f>
        <v>700$ turnkey</v>
      </c>
      <c r="P15" s="23" t="str">
        <f ca="1">IFERROR(__xludf.DUMMYFUNCTION("""COMPUTED_VALUE"""),"Выплачивается в полном размере, если сразу покупать с ремонтом")</f>
        <v>Выплачивается в полном размере, если сразу покупать с ремонтом</v>
      </c>
      <c r="Q15" s="18"/>
      <c r="R15" s="24" t="str">
        <f ca="1">IFERROR(__xludf.DUMMYFUNCTION("""COMPUTED_VALUE"""),"Батуми")</f>
        <v>Батуми</v>
      </c>
      <c r="S15" s="22" t="str">
        <f ca="1">IFERROR(__xludf.DUMMYFUNCTION("""COMPUTED_VALUE"""),"1 100$")</f>
        <v>1 100$</v>
      </c>
      <c r="T15" s="25">
        <f ca="1">IFERROR(__xludf.DUMMYFUNCTION("""COMPUTED_VALUE"""),18)</f>
        <v>18</v>
      </c>
      <c r="U15" s="23" t="str">
        <f ca="1">IFERROR(__xludf.DUMMYFUNCTION("""COMPUTED_VALUE"""),"Нет")</f>
        <v>Нет</v>
      </c>
      <c r="V15" s="18" t="str">
        <f ca="1">IFERROR(__xludf.DUMMYFUNCTION("""COMPUTED_VALUE"""),"-")</f>
        <v>-</v>
      </c>
      <c r="W15" s="18"/>
      <c r="X15" s="20" t="str">
        <f ca="1">IFERROR(__xludf.DUMMYFUNCTION("""COMPUTED_VALUE"""),"995 514 222 255 Григол, Джули 995 514 222 244, Нино 995 514 222 233")</f>
        <v>995 514 222 255 Григол, Джули 995 514 222 244, Нино 995 514 222 233</v>
      </c>
      <c r="Y15" s="26">
        <f ca="1">IFERROR(__xludf.DUMMYFUNCTION("""COMPUTED_VALUE"""),0.057)</f>
        <v>5.7000000000000002E-2</v>
      </c>
      <c r="Z15" s="27">
        <f ca="1">IFERROR(__xludf.DUMMYFUNCTION("""COMPUTED_VALUE"""),0.067)</f>
        <v>6.7000000000000004E-2</v>
      </c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 spans="1:36" ht="90.75" thickBot="1" x14ac:dyDescent="0.3">
      <c r="A16" s="17" t="str">
        <f ca="1">IFERROR(__xludf.DUMMYFUNCTION("""COMPUTED_VALUE"""),"ELT BUILDING")</f>
        <v>ELT BUILDING</v>
      </c>
      <c r="B16" s="18" t="str">
        <f ca="1">IFERROR(__xludf.DUMMYFUNCTION("""COMPUTED_VALUE"""),"OXY Residence")</f>
        <v>OXY Residence</v>
      </c>
      <c r="C16" s="18" t="str">
        <f ca="1">IFERROR(__xludf.DUMMYFUNCTION("""COMPUTED_VALUE"""),"ПВ 0, рассрочка на 39 месяцев; ПВ 10, рассрочка на 39 месяцев, 10 декабрь 2028; ПВ 20, рассрочка на 39 месяцев, 20 декабрь 2028
")</f>
        <v xml:space="preserve">ПВ 0, рассрочка на 39 месяцев; ПВ 10, рассрочка на 39 месяцев, 10 декабрь 2028; ПВ 20, рассрочка на 39 месяцев, 20 декабрь 2028
</v>
      </c>
      <c r="D16" s="18" t="str">
        <f ca="1">IFERROR(__xludf.DUMMYFUNCTION("""COMPUTED_VALUE"""),"ПВ 20% - 100% комиссии")</f>
        <v>ПВ 20% - 100% комиссии</v>
      </c>
      <c r="E16" s="19" t="str">
        <f ca="1">IFERROR(__xludf.DUMMYFUNCTION("""COMPUTED_VALUE"""),"Ссылка")</f>
        <v>Ссылка</v>
      </c>
      <c r="F16" s="19" t="str">
        <f ca="1">IFERROR(__xludf.DUMMYFUNCTION("""COMPUTED_VALUE"""),"Ссылка")</f>
        <v>Ссылка</v>
      </c>
      <c r="G16" s="19" t="str">
        <f ca="1">IFERROR(__xludf.DUMMYFUNCTION("""COMPUTED_VALUE"""),"Ссылка")</f>
        <v>Ссылка</v>
      </c>
      <c r="H16" s="19" t="str">
        <f ca="1">IFERROR(__xludf.DUMMYFUNCTION("""COMPUTED_VALUE"""),"Ссылка")</f>
        <v>Ссылка</v>
      </c>
      <c r="I16" s="19" t="str">
        <f ca="1">IFERROR(__xludf.DUMMYFUNCTION("""COMPUTED_VALUE"""),"Ссылка")</f>
        <v>Ссылка</v>
      </c>
      <c r="J16" s="18" t="str">
        <f ca="1">IFERROR(__xludf.DUMMYFUNCTION("""COMPUTED_VALUE"""),"BF")</f>
        <v>BF</v>
      </c>
      <c r="K16" s="18" t="str">
        <f ca="1">IFERROR(__xludf.DUMMYFUNCTION("""COMPUTED_VALUE"""),"Апартаменты")</f>
        <v>Апартаменты</v>
      </c>
      <c r="L16" s="18" t="str">
        <f ca="1">IFERROR(__xludf.DUMMYFUNCTION("""COMPUTED_VALUE"""),"36-83")</f>
        <v>36-83</v>
      </c>
      <c r="M16" s="20" t="str">
        <f ca="1">IFERROR(__xludf.DUMMYFUNCTION("""COMPUTED_VALUE"""),"декабрь")</f>
        <v>декабрь</v>
      </c>
      <c r="N16" s="21">
        <f ca="1">IFERROR(__xludf.DUMMYFUNCTION("""COMPUTED_VALUE"""),2028)</f>
        <v>2028</v>
      </c>
      <c r="O16" s="22" t="str">
        <f ca="1">IFERROR(__xludf.DUMMYFUNCTION("""COMPUTED_VALUE"""),"700$ turnkey, 750 - студия")</f>
        <v>700$ turnkey, 750 - студия</v>
      </c>
      <c r="P16" s="23" t="str">
        <f ca="1">IFERROR(__xludf.DUMMYFUNCTION("""COMPUTED_VALUE"""),"Выплачивается в полном размере, если сразу покупать с ремонтом")</f>
        <v>Выплачивается в полном размере, если сразу покупать с ремонтом</v>
      </c>
      <c r="Q16" s="18"/>
      <c r="R16" s="24" t="str">
        <f ca="1">IFERROR(__xludf.DUMMYFUNCTION("""COMPUTED_VALUE"""),"Батуми")</f>
        <v>Батуми</v>
      </c>
      <c r="S16" s="22">
        <f ca="1">IFERROR(__xludf.DUMMYFUNCTION("""COMPUTED_VALUE"""),1200)</f>
        <v>1200</v>
      </c>
      <c r="T16" s="25">
        <f ca="1">IFERROR(__xludf.DUMMYFUNCTION("""COMPUTED_VALUE"""),14)</f>
        <v>14</v>
      </c>
      <c r="U16" s="23" t="str">
        <f ca="1">IFERROR(__xludf.DUMMYFUNCTION("""COMPUTED_VALUE"""),"Нет")</f>
        <v>Нет</v>
      </c>
      <c r="V16" s="18" t="str">
        <f ca="1">IFERROR(__xludf.DUMMYFUNCTION("""COMPUTED_VALUE"""),"-")</f>
        <v>-</v>
      </c>
      <c r="W16" s="18"/>
      <c r="X16" s="20" t="str">
        <f ca="1">IFERROR(__xludf.DUMMYFUNCTION("""COMPUTED_VALUE"""),"995 514 222 255 Григол, Джули 995 514 222 244, Нино 995 514 222 233")</f>
        <v>995 514 222 255 Григол, Джули 995 514 222 244, Нино 995 514 222 233</v>
      </c>
      <c r="Y16" s="26">
        <f ca="1">IFERROR(__xludf.DUMMYFUNCTION("""COMPUTED_VALUE"""),0.057)</f>
        <v>5.7000000000000002E-2</v>
      </c>
      <c r="Z16" s="27">
        <f ca="1">IFERROR(__xludf.DUMMYFUNCTION("""COMPUTED_VALUE"""),0.067)</f>
        <v>6.7000000000000004E-2</v>
      </c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 spans="1:36" ht="60.75" thickBot="1" x14ac:dyDescent="0.3">
      <c r="A17" s="17" t="str">
        <f ca="1">IFERROR(__xludf.DUMMYFUNCTION("""COMPUTED_VALUE"""),"EAGLE HILLS")</f>
        <v>EAGLE HILLS</v>
      </c>
      <c r="B17" s="18" t="str">
        <f ca="1">IFERROR(__xludf.DUMMYFUNCTION("""COMPUTED_VALUE"""),"Tbilisi Waterfont")</f>
        <v>Tbilisi Waterfont</v>
      </c>
      <c r="C17" s="18" t="str">
        <f ca="1">IFERROR(__xludf.DUMMYFUNCTION("""COMPUTED_VALUE"""),"* Апартаменты:  первоначальный взнос — 10%
* Таунхаусы и виллы:  первоначальный взнос — 5%
* План оплаты: 40% до передачи объекта, 60% при передаче")</f>
        <v>* Апартаменты:  первоначальный взнос — 10%
* Таунхаусы и виллы:  первоначальный взнос — 5%
* План оплаты: 40% до передачи объекта, 60% при передаче</v>
      </c>
      <c r="D17" s="18"/>
      <c r="E17" s="18"/>
      <c r="F17" s="18"/>
      <c r="G17" s="19" t="str">
        <f ca="1">IFERROR(__xludf.DUMMYFUNCTION("""COMPUTED_VALUE"""),"Ссылка")</f>
        <v>Ссылка</v>
      </c>
      <c r="H17" s="19" t="str">
        <f ca="1">IFERROR(__xludf.DUMMYFUNCTION("""COMPUTED_VALUE"""),"Ссылка")</f>
        <v>Ссылка</v>
      </c>
      <c r="I17" s="18" t="str">
        <f ca="1">IFERROR(__xludf.DUMMYFUNCTION("""COMPUTED_VALUE"""),"-")</f>
        <v>-</v>
      </c>
      <c r="J17" s="18" t="str">
        <f ca="1">IFERROR(__xludf.DUMMYFUNCTION("""COMPUTED_VALUE"""),"WF")</f>
        <v>WF</v>
      </c>
      <c r="K17" s="18" t="str">
        <f ca="1">IFERROR(__xludf.DUMMYFUNCTION("""COMPUTED_VALUE"""),"Апартаменты/Таунхаусы/Виллы")</f>
        <v>Апартаменты/Таунхаусы/Виллы</v>
      </c>
      <c r="L17" s="18"/>
      <c r="M17" s="20" t="str">
        <f ca="1">IFERROR(__xludf.DUMMYFUNCTION("""COMPUTED_VALUE"""),"июнь")</f>
        <v>июнь</v>
      </c>
      <c r="N17" s="21">
        <f ca="1">IFERROR(__xludf.DUMMYFUNCTION("""COMPUTED_VALUE"""),2029)</f>
        <v>2029</v>
      </c>
      <c r="O17" s="18"/>
      <c r="P17" s="23"/>
      <c r="Q17" s="18"/>
      <c r="R17" s="24" t="str">
        <f ca="1">IFERROR(__xludf.DUMMYFUNCTION("""COMPUTED_VALUE"""),"Тбилиси")</f>
        <v>Тбилиси</v>
      </c>
      <c r="S17" s="18"/>
      <c r="T17" s="31"/>
      <c r="U17" s="23"/>
      <c r="V17" s="18"/>
      <c r="W17" s="18"/>
      <c r="X17" s="20" t="str">
        <f ca="1">IFERROR(__xludf.DUMMYFUNCTION("""COMPUTED_VALUE"""),"Ия 995 505 55 97 06")</f>
        <v>Ия 995 505 55 97 06</v>
      </c>
      <c r="Y17" s="26">
        <f ca="1">IFERROR(__xludf.DUMMYFUNCTION("""COMPUTED_VALUE"""),0.017)</f>
        <v>1.7000000000000001E-2</v>
      </c>
      <c r="Z17" s="27">
        <f ca="1">IFERROR(__xludf.DUMMYFUNCTION("""COMPUTED_VALUE"""),0.02)</f>
        <v>0.02</v>
      </c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 spans="1:36" ht="45.75" thickBot="1" x14ac:dyDescent="0.3">
      <c r="A18" s="17" t="str">
        <f ca="1">IFERROR(__xludf.DUMMYFUNCTION("""COMPUTED_VALUE"""),"FK DEVELOPMENT")</f>
        <v>FK DEVELOPMENT</v>
      </c>
      <c r="B18" s="18" t="str">
        <f ca="1">IFERROR(__xludf.DUMMYFUNCTION("""COMPUTED_VALUE"""),"Tonino Lamborghini Batumi Tower")</f>
        <v>Tonino Lamborghini Batumi Tower</v>
      </c>
      <c r="C18" s="18" t="str">
        <f ca="1">IFERROR(__xludf.DUMMYFUNCTION("""COMPUTED_VALUE"""),"ПВ 30%, рассрочка на 60 месяцев")</f>
        <v>ПВ 30%, рассрочка на 60 месяцев</v>
      </c>
      <c r="D18" s="18" t="str">
        <f ca="1">IFERROR(__xludf.DUMMYFUNCTION("""COMPUTED_VALUE"""),"ПВ 30% - 100% комиссии")</f>
        <v>ПВ 30% - 100% комиссии</v>
      </c>
      <c r="E18" s="19" t="str">
        <f ca="1">IFERROR(__xludf.DUMMYFUNCTION("""COMPUTED_VALUE"""),"Ссылка")</f>
        <v>Ссылка</v>
      </c>
      <c r="F18" s="19" t="str">
        <f ca="1">IFERROR(__xludf.DUMMYFUNCTION("""COMPUTED_VALUE"""),"Ссылка")</f>
        <v>Ссылка</v>
      </c>
      <c r="G18" s="19" t="str">
        <f ca="1">IFERROR(__xludf.DUMMYFUNCTION("""COMPUTED_VALUE"""),"Ссылка")</f>
        <v>Ссылка</v>
      </c>
      <c r="H18" s="19" t="str">
        <f ca="1">IFERROR(__xludf.DUMMYFUNCTION("""COMPUTED_VALUE"""),"Гугл")</f>
        <v>Гугл</v>
      </c>
      <c r="I18" s="19" t="str">
        <f ca="1">IFERROR(__xludf.DUMMYFUNCTION("""COMPUTED_VALUE"""),"Ссылка")</f>
        <v>Ссылка</v>
      </c>
      <c r="J18" s="18" t="str">
        <f ca="1">IFERROR(__xludf.DUMMYFUNCTION("""COMPUTED_VALUE"""),"Turnkey")</f>
        <v>Turnkey</v>
      </c>
      <c r="K18" s="18" t="str">
        <f ca="1">IFERROR(__xludf.DUMMYFUNCTION("""COMPUTED_VALUE"""),"Апартаменты")</f>
        <v>Апартаменты</v>
      </c>
      <c r="L18" s="18"/>
      <c r="M18" s="20" t="str">
        <f ca="1">IFERROR(__xludf.DUMMYFUNCTION("""COMPUTED_VALUE"""),"декабрь")</f>
        <v>декабрь</v>
      </c>
      <c r="N18" s="21">
        <f ca="1">IFERROR(__xludf.DUMMYFUNCTION("""COMPUTED_VALUE"""),2029)</f>
        <v>2029</v>
      </c>
      <c r="O18" s="22" t="str">
        <f ca="1">IFERROR(__xludf.DUMMYFUNCTION("""COMPUTED_VALUE"""),"-")</f>
        <v>-</v>
      </c>
      <c r="P18" s="23" t="str">
        <f ca="1">IFERROR(__xludf.DUMMYFUNCTION("""COMPUTED_VALUE"""),"Выплачивается в полном размере")</f>
        <v>Выплачивается в полном размере</v>
      </c>
      <c r="Q18" s="18"/>
      <c r="R18" s="24" t="str">
        <f ca="1">IFERROR(__xludf.DUMMYFUNCTION("""COMPUTED_VALUE"""),"Батуми")</f>
        <v>Батуми</v>
      </c>
      <c r="S18" s="22" t="str">
        <f ca="1">IFERROR(__xludf.DUMMYFUNCTION("""COMPUTED_VALUE"""),"2 800$")</f>
        <v>2 800$</v>
      </c>
      <c r="T18" s="25">
        <f ca="1">IFERROR(__xludf.DUMMYFUNCTION("""COMPUTED_VALUE"""),64)</f>
        <v>64</v>
      </c>
      <c r="U18" s="23" t="str">
        <f ca="1">IFERROR(__xludf.DUMMYFUNCTION("""COMPUTED_VALUE"""),"Нет")</f>
        <v>Нет</v>
      </c>
      <c r="V18" s="18" t="str">
        <f ca="1">IFERROR(__xludf.DUMMYFUNCTION("""COMPUTED_VALUE"""),"-")</f>
        <v>-</v>
      </c>
      <c r="W18" s="18"/>
      <c r="X18" s="20" t="str">
        <f ca="1">IFERROR(__xludf.DUMMYFUNCTION("""COMPUTED_VALUE"""),"Софи 995 596 52 44 00")</f>
        <v>Софи 995 596 52 44 00</v>
      </c>
      <c r="Y18" s="26">
        <f ca="1">IFERROR(__xludf.DUMMYFUNCTION("""COMPUTED_VALUE"""),0.025)</f>
        <v>2.5000000000000001E-2</v>
      </c>
      <c r="Z18" s="27">
        <f ca="1">IFERROR(__xludf.DUMMYFUNCTION("""COMPUTED_VALUE"""),0.0295)</f>
        <v>2.9499999999999998E-2</v>
      </c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 spans="1:36" ht="60.75" thickBot="1" x14ac:dyDescent="0.3">
      <c r="A19" s="17" t="str">
        <f ca="1">IFERROR(__xludf.DUMMYFUNCTION("""COMPUTED_VALUE"""),"GRAND MAISON")</f>
        <v>GRAND MAISON</v>
      </c>
      <c r="B19" s="18" t="str">
        <f ca="1">IFERROR(__xludf.DUMMYFUNCTION("""COMPUTED_VALUE"""),"Calligraphy")</f>
        <v>Calligraphy</v>
      </c>
      <c r="C19" s="18" t="str">
        <f ca="1">IFERROR(__xludf.DUMMYFUNCTION("""COMPUTED_VALUE"""),"ПВ 10% . Блок Б: ПВ 20%, рассрочка на 10 месяцев; Блок А: ПВ 20%, рассрочка на 12 месяцев; Блок Г: Пв 20%, рассрочка на 16 месяцев. ")</f>
        <v xml:space="preserve">ПВ 10% . Блок Б: ПВ 20%, рассрочка на 10 месяцев; Блок А: ПВ 20%, рассрочка на 12 месяцев; Блок Г: Пв 20%, рассрочка на 16 месяцев. </v>
      </c>
      <c r="D19" s="18" t="str">
        <f ca="1">IFERROR(__xludf.DUMMYFUNCTION("""COMPUTED_VALUE"""),"ПВ 20% - комиссия 100%")</f>
        <v>ПВ 20% - комиссия 100%</v>
      </c>
      <c r="E19" s="19" t="str">
        <f ca="1">IFERROR(__xludf.DUMMYFUNCTION("""COMPUTED_VALUE"""),"Ссылка")</f>
        <v>Ссылка</v>
      </c>
      <c r="F19" s="19" t="str">
        <f ca="1">IFERROR(__xludf.DUMMYFUNCTION("""COMPUTED_VALUE"""),"Ссылка")</f>
        <v>Ссылка</v>
      </c>
      <c r="G19" s="19" t="str">
        <f ca="1">IFERROR(__xludf.DUMMYFUNCTION("""COMPUTED_VALUE"""),"Ссылка")</f>
        <v>Ссылка</v>
      </c>
      <c r="H19" s="19" t="str">
        <f ca="1">IFERROR(__xludf.DUMMYFUNCTION("""COMPUTED_VALUE"""),"Яндекс")</f>
        <v>Яндекс</v>
      </c>
      <c r="I19" s="19" t="str">
        <f ca="1">IFERROR(__xludf.DUMMYFUNCTION("""COMPUTED_VALUE"""),"Ссылка")</f>
        <v>Ссылка</v>
      </c>
      <c r="J19" s="18" t="str">
        <f ca="1">IFERROR(__xludf.DUMMYFUNCTION("""COMPUTED_VALUE"""),"Блок А turnkey, блок Б и Г WF")</f>
        <v>Блок А turnkey, блок Б и Г WF</v>
      </c>
      <c r="K19" s="18" t="str">
        <f ca="1">IFERROR(__xludf.DUMMYFUNCTION("""COMPUTED_VALUE"""),"Block B , G жилой , Block A апартамент")</f>
        <v>Block B , G жилой , Block A апартамент</v>
      </c>
      <c r="L19" s="18" t="str">
        <f ca="1">IFERROR(__xludf.DUMMYFUNCTION("""COMPUTED_VALUE"""),"29–68 м2")</f>
        <v>29–68 м2</v>
      </c>
      <c r="M19" s="20" t="str">
        <f ca="1">IFERROR(__xludf.DUMMYFUNCTION("""COMPUTED_VALUE"""),"-")</f>
        <v>-</v>
      </c>
      <c r="N19" s="21" t="str">
        <f ca="1">IFERROR(__xludf.DUMMYFUNCTION("""COMPUTED_VALUE"""),"Блок А и Б уже сданы, блок Г 2026 год 2 квартал")</f>
        <v>Блок А и Б уже сданы, блок Г 2026 год 2 квартал</v>
      </c>
      <c r="O19" s="22" t="str">
        <f ca="1">IFERROR(__xludf.DUMMYFUNCTION("""COMPUTED_VALUE"""),"800$ turnkey")</f>
        <v>800$ turnkey</v>
      </c>
      <c r="P19" s="23" t="str">
        <f ca="1">IFERROR(__xludf.DUMMYFUNCTION("""COMPUTED_VALUE"""),"Выплачивается в полном размере")</f>
        <v>Выплачивается в полном размере</v>
      </c>
      <c r="Q19" s="18"/>
      <c r="R19" s="24" t="str">
        <f ca="1">IFERROR(__xludf.DUMMYFUNCTION("""COMPUTED_VALUE"""),"Батуми")</f>
        <v>Батуми</v>
      </c>
      <c r="S19" s="22">
        <f ca="1">IFERROR(__xludf.DUMMYFUNCTION("""COMPUTED_VALUE"""),1350)</f>
        <v>1350</v>
      </c>
      <c r="T19" s="25" t="str">
        <f ca="1">IFERROR(__xludf.DUMMYFUNCTION("""COMPUTED_VALUE"""),"35-45")</f>
        <v>35-45</v>
      </c>
      <c r="U19" s="23" t="str">
        <f ca="1">IFERROR(__xludf.DUMMYFUNCTION("""COMPUTED_VALUE"""),"да ( в готовых блоках)")</f>
        <v>да ( в готовых блоках)</v>
      </c>
      <c r="V19" s="18" t="str">
        <f ca="1">IFERROR(__xludf.DUMMYFUNCTION("""COMPUTED_VALUE"""),"-")</f>
        <v>-</v>
      </c>
      <c r="W19" s="18"/>
      <c r="X19" s="20" t="str">
        <f ca="1">IFERROR(__xludf.DUMMYFUNCTION("""COMPUTED_VALUE"""),"995 555 29 40 40 Натали, 995 555 89 40 40 Лана")</f>
        <v>995 555 29 40 40 Натали, 995 555 89 40 40 Лана</v>
      </c>
      <c r="Y19" s="26">
        <f ca="1">IFERROR(__xludf.DUMMYFUNCTION("""COMPUTED_VALUE"""),0.032)</f>
        <v>3.2000000000000001E-2</v>
      </c>
      <c r="Z19" s="27">
        <f ca="1">IFERROR(__xludf.DUMMYFUNCTION("""COMPUTED_VALUE"""),0.0354)</f>
        <v>3.5400000000000001E-2</v>
      </c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 spans="1:36" ht="45.75" thickBot="1" x14ac:dyDescent="0.3">
      <c r="A20" s="17" t="str">
        <f ca="1">IFERROR(__xludf.DUMMYFUNCTION("""COMPUTED_VALUE"""),"GREEN SIDE")</f>
        <v>GREEN SIDE</v>
      </c>
      <c r="B20" s="18" t="str">
        <f ca="1">IFERROR(__xludf.DUMMYFUNCTION("""COMPUTED_VALUE"""),"Gonio")</f>
        <v>Gonio</v>
      </c>
      <c r="C20" s="19" t="str">
        <f ca="1">IFERROR(__xludf.DUMMYFUNCTION("""COMPUTED_VALUE"""),"Ссылка")</f>
        <v>Ссылка</v>
      </c>
      <c r="D20" s="18" t="str">
        <f ca="1">IFERROR(__xludf.DUMMYFUNCTION("""COMPUTED_VALUE"""),"ПВ 25% - 100% комиссия")</f>
        <v>ПВ 25% - 100% комиссия</v>
      </c>
      <c r="E20" s="19" t="str">
        <f ca="1">IFERROR(__xludf.DUMMYFUNCTION("""COMPUTED_VALUE"""),"Ссылка")</f>
        <v>Ссылка</v>
      </c>
      <c r="F20" s="19" t="str">
        <f ca="1">IFERROR(__xludf.DUMMYFUNCTION("""COMPUTED_VALUE"""),"Ссылка")</f>
        <v>Ссылка</v>
      </c>
      <c r="G20" s="19" t="str">
        <f ca="1">IFERROR(__xludf.DUMMYFUNCTION("""COMPUTED_VALUE"""),"Ссылка")</f>
        <v>Ссылка</v>
      </c>
      <c r="H20" s="19" t="str">
        <f ca="1">IFERROR(__xludf.DUMMYFUNCTION("""COMPUTED_VALUE"""),"Яндекс")</f>
        <v>Яндекс</v>
      </c>
      <c r="I20" s="19" t="str">
        <f ca="1">IFERROR(__xludf.DUMMYFUNCTION("""COMPUTED_VALUE"""),"Ссылка")</f>
        <v>Ссылка</v>
      </c>
      <c r="J20" s="18" t="str">
        <f ca="1">IFERROR(__xludf.DUMMYFUNCTION("""COMPUTED_VALUE"""),"Turnkey")</f>
        <v>Turnkey</v>
      </c>
      <c r="K20" s="18" t="str">
        <f ca="1">IFERROR(__xludf.DUMMYFUNCTION("""COMPUTED_VALUE"""),"Апартаменты")</f>
        <v>Апартаменты</v>
      </c>
      <c r="L20" s="18" t="str">
        <f ca="1">IFERROR(__xludf.DUMMYFUNCTION("""COMPUTED_VALUE"""),"25-56")</f>
        <v>25-56</v>
      </c>
      <c r="M20" s="20" t="str">
        <f ca="1">IFERROR(__xludf.DUMMYFUNCTION("""COMPUTED_VALUE"""),"1 квартал")</f>
        <v>1 квартал</v>
      </c>
      <c r="N20" s="21" t="str">
        <f ca="1">IFERROR(__xludf.DUMMYFUNCTION("""COMPUTED_VALUE"""),"Блок А сдан
Блок Б 2027")</f>
        <v>Блок А сдан
Блок Б 2027</v>
      </c>
      <c r="O20" s="22" t="str">
        <f ca="1">IFERROR(__xludf.DUMMYFUNCTION("""COMPUTED_VALUE"""),"-")</f>
        <v>-</v>
      </c>
      <c r="P20" s="23" t="str">
        <f ca="1">IFERROR(__xludf.DUMMYFUNCTION("""COMPUTED_VALUE"""),"Выплачивается в полном размере")</f>
        <v>Выплачивается в полном размере</v>
      </c>
      <c r="Q20" s="18"/>
      <c r="R20" s="24" t="str">
        <f ca="1">IFERROR(__xludf.DUMMYFUNCTION("""COMPUTED_VALUE"""),"Гонио")</f>
        <v>Гонио</v>
      </c>
      <c r="S20" s="22" t="str">
        <f ca="1">IFERROR(__xludf.DUMMYFUNCTION("""COMPUTED_VALUE"""),"Block А: 2 400$
Block Б: 2 675$")</f>
        <v>Block А: 2 400$
Block Б: 2 675$</v>
      </c>
      <c r="T20" s="25" t="str">
        <f ca="1">IFERROR(__xludf.DUMMYFUNCTION("""COMPUTED_VALUE"""),"12, 20")</f>
        <v>12, 20</v>
      </c>
      <c r="U20" s="23" t="str">
        <f ca="1">IFERROR(__xludf.DUMMYFUNCTION("""COMPUTED_VALUE"""),"Самостоятельно")</f>
        <v>Самостоятельно</v>
      </c>
      <c r="V20" s="19" t="str">
        <f ca="1">IFERROR(__xludf.DUMMYFUNCTION("""COMPUTED_VALUE"""),"Ссылка")</f>
        <v>Ссылка</v>
      </c>
      <c r="W20" s="18"/>
      <c r="X20" s="20" t="str">
        <f ca="1">IFERROR(__xludf.DUMMYFUNCTION("""COMPUTED_VALUE"""),"Макуна 995 557 19 42 00")</f>
        <v>Макуна 995 557 19 42 00</v>
      </c>
      <c r="Y20" s="26">
        <f ca="1">IFERROR(__xludf.DUMMYFUNCTION("""COMPUTED_VALUE"""),0.057)</f>
        <v>5.7000000000000002E-2</v>
      </c>
      <c r="Z20" s="27">
        <f ca="1">IFERROR(__xludf.DUMMYFUNCTION("""COMPUTED_VALUE"""),0.069)</f>
        <v>6.9000000000000006E-2</v>
      </c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spans="1:36" ht="45.75" thickBot="1" x14ac:dyDescent="0.3">
      <c r="A21" s="17" t="str">
        <f ca="1">IFERROR(__xludf.DUMMYFUNCTION("""COMPUTED_VALUE"""),"GURU HOLDING")</f>
        <v>GURU HOLDING</v>
      </c>
      <c r="B21" s="18" t="str">
        <f ca="1">IFERROR(__xludf.DUMMYFUNCTION("""COMPUTED_VALUE"""),"Guru Status ")</f>
        <v xml:space="preserve">Guru Status </v>
      </c>
      <c r="C21" s="18" t="str">
        <f ca="1">IFERROR(__xludf.DUMMYFUNCTION("""COMPUTED_VALUE"""),"ПВ 10%, рассрочка на 12 месяцев. Или разделяем всю сумму квартиры на 12 месяцев")</f>
        <v>ПВ 10%, рассрочка на 12 месяцев. Или разделяем всю сумму квартиры на 12 месяцев</v>
      </c>
      <c r="D21" s="18" t="str">
        <f ca="1">IFERROR(__xludf.DUMMYFUNCTION("""COMPUTED_VALUE"""),"ПВ 30% - 100% комиссии")</f>
        <v>ПВ 30% - 100% комиссии</v>
      </c>
      <c r="E21" s="19" t="str">
        <f ca="1">IFERROR(__xludf.DUMMYFUNCTION("""COMPUTED_VALUE"""),"Ссылка")</f>
        <v>Ссылка</v>
      </c>
      <c r="F21" s="19" t="str">
        <f ca="1">IFERROR(__xludf.DUMMYFUNCTION("""COMPUTED_VALUE"""),"Ссылка")</f>
        <v>Ссылка</v>
      </c>
      <c r="G21" s="19" t="str">
        <f ca="1">IFERROR(__xludf.DUMMYFUNCTION("""COMPUTED_VALUE"""),"Ссылка")</f>
        <v>Ссылка</v>
      </c>
      <c r="H21" s="19" t="str">
        <f ca="1">IFERROR(__xludf.DUMMYFUNCTION("""COMPUTED_VALUE"""),"Яндекс")</f>
        <v>Яндекс</v>
      </c>
      <c r="I21" s="19" t="str">
        <f ca="1">IFERROR(__xludf.DUMMYFUNCTION("""COMPUTED_VALUE"""),"Ссылка")</f>
        <v>Ссылка</v>
      </c>
      <c r="J21" s="18" t="str">
        <f ca="1">IFERROR(__xludf.DUMMYFUNCTION("""COMPUTED_VALUE"""),"WF")</f>
        <v>WF</v>
      </c>
      <c r="K21" s="18" t="str">
        <f ca="1">IFERROR(__xludf.DUMMYFUNCTION("""COMPUTED_VALUE"""),"Апартаменты")</f>
        <v>Апартаменты</v>
      </c>
      <c r="L21" s="18" t="str">
        <f ca="1">IFERROR(__xludf.DUMMYFUNCTION("""COMPUTED_VALUE"""),"27–50")</f>
        <v>27–50</v>
      </c>
      <c r="M21" s="20" t="str">
        <f ca="1">IFERROR(__xludf.DUMMYFUNCTION("""COMPUTED_VALUE"""),"3 квартал")</f>
        <v>3 квартал</v>
      </c>
      <c r="N21" s="21">
        <f ca="1">IFERROR(__xludf.DUMMYFUNCTION("""COMPUTED_VALUE"""),2025)</f>
        <v>2025</v>
      </c>
      <c r="O21" s="22" t="str">
        <f ca="1">IFERROR(__xludf.DUMMYFUNCTION("""COMPUTED_VALUE"""),"Стандарт 650 , люкс 850, премиум 1200")</f>
        <v>Стандарт 650 , люкс 850, премиум 1200</v>
      </c>
      <c r="P21" s="23" t="str">
        <f ca="1">IFERROR(__xludf.DUMMYFUNCTION("""COMPUTED_VALUE"""),"Выплачивается в полном размере")</f>
        <v>Выплачивается в полном размере</v>
      </c>
      <c r="Q21" s="18"/>
      <c r="R21" s="24" t="str">
        <f ca="1">IFERROR(__xludf.DUMMYFUNCTION("""COMPUTED_VALUE"""),"Батуми")</f>
        <v>Батуми</v>
      </c>
      <c r="S21" s="22" t="str">
        <f ca="1">IFERROR(__xludf.DUMMYFUNCTION("""COMPUTED_VALUE"""),"1 800$
installment: 1 900$")</f>
        <v>1 800$
installment: 1 900$</v>
      </c>
      <c r="T21" s="25">
        <f ca="1">IFERROR(__xludf.DUMMYFUNCTION("""COMPUTED_VALUE"""),29)</f>
        <v>29</v>
      </c>
      <c r="U21" s="23" t="str">
        <f ca="1">IFERROR(__xludf.DUMMYFUNCTION("""COMPUTED_VALUE"""),"да")</f>
        <v>да</v>
      </c>
      <c r="V21" s="18" t="str">
        <f ca="1">IFERROR(__xludf.DUMMYFUNCTION("""COMPUTED_VALUE"""),"-")</f>
        <v>-</v>
      </c>
      <c r="W21" s="18"/>
      <c r="X21" s="20" t="str">
        <f ca="1">IFERROR(__xludf.DUMMYFUNCTION("""COMPUTED_VALUE"""),"Шорена 995 514 90 10 10")</f>
        <v>Шорена 995 514 90 10 10</v>
      </c>
      <c r="Y21" s="26">
        <f ca="1">IFERROR(__xludf.DUMMYFUNCTION("""COMPUTED_VALUE"""),0.057)</f>
        <v>5.7000000000000002E-2</v>
      </c>
      <c r="Z21" s="27">
        <f ca="1">IFERROR(__xludf.DUMMYFUNCTION("""COMPUTED_VALUE"""),0.067)</f>
        <v>6.7000000000000004E-2</v>
      </c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spans="1:36" ht="60.75" thickBot="1" x14ac:dyDescent="0.3">
      <c r="A22" s="17" t="str">
        <f ca="1">IFERROR(__xludf.DUMMYFUNCTION("""COMPUTED_VALUE"""),"GURU HOLDING")</f>
        <v>GURU HOLDING</v>
      </c>
      <c r="B22" s="18" t="str">
        <f ca="1">IFERROR(__xludf.DUMMYFUNCTION("""COMPUTED_VALUE"""),"Subtropical ")</f>
        <v xml:space="preserve">Subtropical </v>
      </c>
      <c r="C22" s="18" t="str">
        <f ca="1">IFERROR(__xludf.DUMMYFUNCTION("""COMPUTED_VALUE"""),"30%, рассрочка на 36 месяцев")</f>
        <v>30%, рассрочка на 36 месяцев</v>
      </c>
      <c r="D22" s="18" t="str">
        <f ca="1">IFERROR(__xludf.DUMMYFUNCTION("""COMPUTED_VALUE"""),"ПВ 30% - 100% комиссии")</f>
        <v>ПВ 30% - 100% комиссии</v>
      </c>
      <c r="E22" s="19" t="str">
        <f ca="1">IFERROR(__xludf.DUMMYFUNCTION("""COMPUTED_VALUE"""),"Ссылка")</f>
        <v>Ссылка</v>
      </c>
      <c r="F22" s="19" t="str">
        <f ca="1">IFERROR(__xludf.DUMMYFUNCTION("""COMPUTED_VALUE"""),"Ссылка")</f>
        <v>Ссылка</v>
      </c>
      <c r="G22" s="19" t="str">
        <f ca="1">IFERROR(__xludf.DUMMYFUNCTION("""COMPUTED_VALUE"""),"Ссылка")</f>
        <v>Ссылка</v>
      </c>
      <c r="H22" s="19" t="str">
        <f ca="1">IFERROR(__xludf.DUMMYFUNCTION("""COMPUTED_VALUE"""),"Яндекс")</f>
        <v>Яндекс</v>
      </c>
      <c r="I22" s="19" t="str">
        <f ca="1">IFERROR(__xludf.DUMMYFUNCTION("""COMPUTED_VALUE"""),"Ссылка")</f>
        <v>Ссылка</v>
      </c>
      <c r="J22" s="18" t="str">
        <f ca="1">IFERROR(__xludf.DUMMYFUNCTION("""COMPUTED_VALUE"""),"WF")</f>
        <v>WF</v>
      </c>
      <c r="K22" s="18" t="str">
        <f ca="1">IFERROR(__xludf.DUMMYFUNCTION("""COMPUTED_VALUE"""),"Жилой, вилла")</f>
        <v>Жилой, вилла</v>
      </c>
      <c r="L22" s="18" t="str">
        <f ca="1">IFERROR(__xludf.DUMMYFUNCTION("""COMPUTED_VALUE"""),"28–260")</f>
        <v>28–260</v>
      </c>
      <c r="M22" s="20" t="str">
        <f ca="1">IFERROR(__xludf.DUMMYFUNCTION("""COMPUTED_VALUE"""),"4 квартал")</f>
        <v>4 квартал</v>
      </c>
      <c r="N22" s="21">
        <f ca="1">IFERROR(__xludf.DUMMYFUNCTION("""COMPUTED_VALUE"""),2028)</f>
        <v>2028</v>
      </c>
      <c r="O22" s="22" t="str">
        <f ca="1">IFERROR(__xludf.DUMMYFUNCTION("""COMPUTED_VALUE"""),"Пока не предлагают")</f>
        <v>Пока не предлагают</v>
      </c>
      <c r="P22" s="23" t="str">
        <f ca="1">IFERROR(__xludf.DUMMYFUNCTION("""COMPUTED_VALUE"""),"-")</f>
        <v>-</v>
      </c>
      <c r="Q22" s="18"/>
      <c r="R22" s="24" t="str">
        <f ca="1">IFERROR(__xludf.DUMMYFUNCTION("""COMPUTED_VALUE"""),"Батуми")</f>
        <v>Батуми</v>
      </c>
      <c r="S22" s="22" t="str">
        <f ca="1">IFERROR(__xludf.DUMMYFUNCTION("""COMPUTED_VALUE"""),"Block А: 1 500$ 
Block C: 1 500$ 
Виллы: 2 000$-2 300$")</f>
        <v>Block А: 1 500$ 
Block C: 1 500$ 
Виллы: 2 000$-2 300$</v>
      </c>
      <c r="T22" s="25" t="str">
        <f ca="1">IFERROR(__xludf.DUMMYFUNCTION("""COMPUTED_VALUE"""),"апарты 6-8 этажей")</f>
        <v>апарты 6-8 этажей</v>
      </c>
      <c r="U22" s="23" t="str">
        <f ca="1">IFERROR(__xludf.DUMMYFUNCTION("""COMPUTED_VALUE"""),"нет")</f>
        <v>нет</v>
      </c>
      <c r="V22" s="18" t="str">
        <f ca="1">IFERROR(__xludf.DUMMYFUNCTION("""COMPUTED_VALUE"""),"-")</f>
        <v>-</v>
      </c>
      <c r="W22" s="18"/>
      <c r="X22" s="20" t="str">
        <f ca="1">IFERROR(__xludf.DUMMYFUNCTION("""COMPUTED_VALUE"""),"Шорена 995 514 90 10 10")</f>
        <v>Шорена 995 514 90 10 10</v>
      </c>
      <c r="Y22" s="26">
        <f ca="1">IFERROR(__xludf.DUMMYFUNCTION("""COMPUTED_VALUE"""),0.057)</f>
        <v>5.7000000000000002E-2</v>
      </c>
      <c r="Z22" s="27">
        <f ca="1">IFERROR(__xludf.DUMMYFUNCTION("""COMPUTED_VALUE"""),0.067)</f>
        <v>6.7000000000000004E-2</v>
      </c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spans="1:36" ht="135.75" thickBot="1" x14ac:dyDescent="0.3">
      <c r="A23" s="17" t="str">
        <f ca="1">IFERROR(__xludf.DUMMYFUNCTION("""COMPUTED_VALUE"""),"GUMBATI")</f>
        <v>GUMBATI</v>
      </c>
      <c r="B23" s="18" t="str">
        <f ca="1">IFERROR(__xludf.DUMMYFUNCTION("""COMPUTED_VALUE"""),"Strada")</f>
        <v>Strada</v>
      </c>
      <c r="C23" s="18" t="str">
        <f ca="1">IFERROR(__xludf.DUMMYFUNCTION("""COMPUTED_VALUE"""),"ПВ 25%, рассрочка до мая 2030 (49 месяцев)")</f>
        <v>ПВ 25%, рассрочка до мая 2030 (49 месяцев)</v>
      </c>
      <c r="D23" s="18" t="str">
        <f ca="1">IFERROR(__xludf.DUMMYFUNCTION("""COMPUTED_VALUE"""),"ПВ 25% - 100% комиссия")</f>
        <v>ПВ 25% - 100% комиссия</v>
      </c>
      <c r="E23" s="18"/>
      <c r="F23" s="19" t="str">
        <f ca="1">IFERROR(__xludf.DUMMYFUNCTION("""COMPUTED_VALUE"""),"Ссылка")</f>
        <v>Ссылка</v>
      </c>
      <c r="G23" s="19" t="str">
        <f ca="1">IFERROR(__xludf.DUMMYFUNCTION("""COMPUTED_VALUE"""),"Cсылка")</f>
        <v>Cсылка</v>
      </c>
      <c r="H23" s="19" t="str">
        <f ca="1">IFERROR(__xludf.DUMMYFUNCTION("""COMPUTED_VALUE"""),"Яндекс")</f>
        <v>Яндекс</v>
      </c>
      <c r="I23" s="19" t="str">
        <f ca="1">IFERROR(__xludf.DUMMYFUNCTION("""COMPUTED_VALUE"""),"Ссылка")</f>
        <v>Ссылка</v>
      </c>
      <c r="J23" s="18" t="str">
        <f ca="1">IFERROR(__xludf.DUMMYFUNCTION("""COMPUTED_VALUE"""),"PF")</f>
        <v>PF</v>
      </c>
      <c r="K23" s="18" t="str">
        <f ca="1">IFERROR(__xludf.DUMMYFUNCTION("""COMPUTED_VALUE"""),"Жилой")</f>
        <v>Жилой</v>
      </c>
      <c r="L23" s="18" t="str">
        <f ca="1">IFERROR(__xludf.DUMMYFUNCTION("""COMPUTED_VALUE"""),"28.8–93.6")</f>
        <v>28.8–93.6</v>
      </c>
      <c r="M23" s="20" t="str">
        <f ca="1">IFERROR(__xludf.DUMMYFUNCTION("""COMPUTED_VALUE"""),"4 квартал")</f>
        <v>4 квартал</v>
      </c>
      <c r="N23" s="21">
        <f ca="1">IFERROR(__xludf.DUMMYFUNCTION("""COMPUTED_VALUE"""),2030)</f>
        <v>2030</v>
      </c>
      <c r="O23" s="22" t="str">
        <f ca="1">IFERROR(__xludf.DUMMYFUNCTION("""COMPUTED_VALUE"""),"300$ - без мебели и техники, 600$ - turnkey")</f>
        <v>300$ - без мебели и техники, 600$ - turnkey</v>
      </c>
      <c r="P23" s="23" t="str">
        <f ca="1">IFERROR(__xludf.DUMMYFUNCTION("""COMPUTED_VALUE"""),"Комиссия за ремонт выплачивается обычно если договор сразу заключается с ремонтом, а не после.")</f>
        <v>Комиссия за ремонт выплачивается обычно если договор сразу заключается с ремонтом, а не после.</v>
      </c>
      <c r="Q23" s="18"/>
      <c r="R23" s="24" t="str">
        <f ca="1">IFERROR(__xludf.DUMMYFUNCTION("""COMPUTED_VALUE"""),"Батуми")</f>
        <v>Батуми</v>
      </c>
      <c r="S23" s="18"/>
      <c r="T23" s="25">
        <f ca="1">IFERROR(__xludf.DUMMYFUNCTION("""COMPUTED_VALUE"""),31)</f>
        <v>31</v>
      </c>
      <c r="U23" s="23" t="str">
        <f ca="1">IFERROR(__xludf.DUMMYFUNCTION("""COMPUTED_VALUE"""),"нет")</f>
        <v>нет</v>
      </c>
      <c r="V23" s="18" t="str">
        <f ca="1">IFERROR(__xludf.DUMMYFUNCTION("""COMPUTED_VALUE"""),"-")</f>
        <v>-</v>
      </c>
      <c r="W23" s="18"/>
      <c r="X23" s="20" t="str">
        <f ca="1">IFERROR(__xludf.DUMMYFUNCTION("""COMPUTED_VALUE"""),"Диана 995 577 23 80 70 ")</f>
        <v xml:space="preserve">Диана 995 577 23 80 70 </v>
      </c>
      <c r="Y23" s="26">
        <f ca="1">IFERROR(__xludf.DUMMYFUNCTION("""COMPUTED_VALUE"""),0.028)</f>
        <v>2.8000000000000001E-2</v>
      </c>
      <c r="Z23" s="27">
        <f ca="1">IFERROR(__xludf.DUMMYFUNCTION("""COMPUTED_VALUE"""),0.033)</f>
        <v>3.3000000000000002E-2</v>
      </c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spans="1:36" ht="135.75" thickBot="1" x14ac:dyDescent="0.3">
      <c r="A24" s="17" t="str">
        <f ca="1">IFERROR(__xludf.DUMMYFUNCTION("""COMPUTED_VALUE"""),"GUMBATI")</f>
        <v>GUMBATI</v>
      </c>
      <c r="B24" s="18" t="str">
        <f ca="1">IFERROR(__xludf.DUMMYFUNCTION("""COMPUTED_VALUE"""),"Montemar")</f>
        <v>Montemar</v>
      </c>
      <c r="C24" s="18" t="str">
        <f ca="1">IFERROR(__xludf.DUMMYFUNCTION("""COMPUTED_VALUE"""),"25% ПВ, рассрочка до марта 2030 (48 месяцев)")</f>
        <v>25% ПВ, рассрочка до марта 2030 (48 месяцев)</v>
      </c>
      <c r="D24" s="18"/>
      <c r="E24" s="19" t="str">
        <f ca="1">IFERROR(__xludf.DUMMYFUNCTION("""COMPUTED_VALUE"""),"Ссылка")</f>
        <v>Ссылка</v>
      </c>
      <c r="F24" s="19" t="str">
        <f ca="1">IFERROR(__xludf.DUMMYFUNCTION("""COMPUTED_VALUE"""),"Ссылка")</f>
        <v>Ссылка</v>
      </c>
      <c r="G24" s="18" t="str">
        <f ca="1">IFERROR(__xludf.DUMMYFUNCTION("""COMPUTED_VALUE"""),"Ссылка")</f>
        <v>Ссылка</v>
      </c>
      <c r="H24" s="19" t="str">
        <f ca="1">IFERROR(__xludf.DUMMYFUNCTION("""COMPUTED_VALUE"""),"Яндекс")</f>
        <v>Яндекс</v>
      </c>
      <c r="I24" s="19" t="str">
        <f ca="1">IFERROR(__xludf.DUMMYFUNCTION("""COMPUTED_VALUE"""),"Ссылка")</f>
        <v>Ссылка</v>
      </c>
      <c r="J24" s="18" t="str">
        <f ca="1">IFERROR(__xludf.DUMMYFUNCTION("""COMPUTED_VALUE"""),"PF")</f>
        <v>PF</v>
      </c>
      <c r="K24" s="18" t="str">
        <f ca="1">IFERROR(__xludf.DUMMYFUNCTION("""COMPUTED_VALUE"""),"Апартаменты")</f>
        <v>Апартаменты</v>
      </c>
      <c r="L24" s="18" t="str">
        <f ca="1">IFERROR(__xludf.DUMMYFUNCTION("""COMPUTED_VALUE"""),"31.3–169.3")</f>
        <v>31.3–169.3</v>
      </c>
      <c r="M24" s="20" t="str">
        <f ca="1">IFERROR(__xludf.DUMMYFUNCTION("""COMPUTED_VALUE"""),"4 квартал")</f>
        <v>4 квартал</v>
      </c>
      <c r="N24" s="21">
        <f ca="1">IFERROR(__xludf.DUMMYFUNCTION("""COMPUTED_VALUE"""),2028)</f>
        <v>2028</v>
      </c>
      <c r="O24" s="22" t="str">
        <f ca="1">IFERROR(__xludf.DUMMYFUNCTION("""COMPUTED_VALUE"""),"300$ - без мебели и техники, 600$ - turnkey")</f>
        <v>300$ - без мебели и техники, 600$ - turnkey</v>
      </c>
      <c r="P24" s="23" t="str">
        <f ca="1">IFERROR(__xludf.DUMMYFUNCTION("""COMPUTED_VALUE"""),"Комиссия за ремонт выплачивается обычно если договор сразу заключается с ремонтом, а не после.")</f>
        <v>Комиссия за ремонт выплачивается обычно если договор сразу заключается с ремонтом, а не после.</v>
      </c>
      <c r="Q24" s="18"/>
      <c r="R24" s="24" t="str">
        <f ca="1">IFERROR(__xludf.DUMMYFUNCTION("""COMPUTED_VALUE"""),"Батуми")</f>
        <v>Батуми</v>
      </c>
      <c r="S24" s="18"/>
      <c r="T24" s="25">
        <f ca="1">IFERROR(__xludf.DUMMYFUNCTION("""COMPUTED_VALUE"""),16)</f>
        <v>16</v>
      </c>
      <c r="U24" s="23" t="str">
        <f ca="1">IFERROR(__xludf.DUMMYFUNCTION("""COMPUTED_VALUE"""),"нет")</f>
        <v>нет</v>
      </c>
      <c r="V24" s="18" t="str">
        <f ca="1">IFERROR(__xludf.DUMMYFUNCTION("""COMPUTED_VALUE"""),"-")</f>
        <v>-</v>
      </c>
      <c r="W24" s="18"/>
      <c r="X24" s="20" t="str">
        <f ca="1">IFERROR(__xludf.DUMMYFUNCTION("""COMPUTED_VALUE"""),"Диана 995 577 23 80 70 ")</f>
        <v xml:space="preserve">Диана 995 577 23 80 70 </v>
      </c>
      <c r="Y24" s="26">
        <f ca="1">IFERROR(__xludf.DUMMYFUNCTION("""COMPUTED_VALUE"""),0.028)</f>
        <v>2.8000000000000001E-2</v>
      </c>
      <c r="Z24" s="27">
        <f ca="1">IFERROR(__xludf.DUMMYFUNCTION("""COMPUTED_VALUE"""),0.033)</f>
        <v>3.3000000000000002E-2</v>
      </c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spans="1:36" ht="75.75" thickBot="1" x14ac:dyDescent="0.3">
      <c r="A25" s="17" t="str">
        <f ca="1">IFERROR(__xludf.DUMMYFUNCTION("""COMPUTED_VALUE"""),"HOMEX")</f>
        <v>HOMEX</v>
      </c>
      <c r="B25" s="18" t="str">
        <f ca="1">IFERROR(__xludf.DUMMYFUNCTION("""COMPUTED_VALUE"""),"Laggon Resort")</f>
        <v>Laggon Resort</v>
      </c>
      <c r="C25" s="18" t="str">
        <f ca="1">IFERROR(__xludf.DUMMYFUNCTION("""COMPUTED_VALUE"""),"ПВ 25%, 35 % рассрочка на 20 месяцев, 40 % на конец (либо можно взять ипотеку). Только для инвестиционных проектов в блоке Б: ПВ 20%, 20 месяцев по 1000$, на 21 месяце остаток 60% (либо в ипотеку). Акция во вкладке Акции")</f>
        <v>ПВ 25%, 35 % рассрочка на 20 месяцев, 40 % на конец (либо можно взять ипотеку). Только для инвестиционных проектов в блоке Б: ПВ 20%, 20 месяцев по 1000$, на 21 месяце остаток 60% (либо в ипотеку). Акция во вкладке Акции</v>
      </c>
      <c r="D25" s="18" t="str">
        <f ca="1">IFERROR(__xludf.DUMMYFUNCTION("""COMPUTED_VALUE"""),"ПВ 20% - комиссия 100%")</f>
        <v>ПВ 20% - комиссия 100%</v>
      </c>
      <c r="E25" s="19" t="str">
        <f ca="1">IFERROR(__xludf.DUMMYFUNCTION("""COMPUTED_VALUE"""),"Ссылка")</f>
        <v>Ссылка</v>
      </c>
      <c r="F25" s="19" t="str">
        <f ca="1">IFERROR(__xludf.DUMMYFUNCTION("""COMPUTED_VALUE"""),"Ссылка")</f>
        <v>Ссылка</v>
      </c>
      <c r="G25" s="19" t="str">
        <f ca="1">IFERROR(__xludf.DUMMYFUNCTION("""COMPUTED_VALUE"""),"Ссылка")</f>
        <v>Ссылка</v>
      </c>
      <c r="H25" s="19" t="str">
        <f ca="1">IFERROR(__xludf.DUMMYFUNCTION("""COMPUTED_VALUE"""),"Яндекс")</f>
        <v>Яндекс</v>
      </c>
      <c r="I25" s="32" t="str">
        <f ca="1">IFERROR(__xludf.DUMMYFUNCTION("""COMPUTED_VALUE"""),"Ссылка")</f>
        <v>Ссылка</v>
      </c>
      <c r="J25" s="18" t="str">
        <f ca="1">IFERROR(__xludf.DUMMYFUNCTION("""COMPUTED_VALUE"""),"A, C - turnkey
B - WF")</f>
        <v>A, C - turnkey
B - WF</v>
      </c>
      <c r="K25" s="18" t="str">
        <f ca="1">IFERROR(__xludf.DUMMYFUNCTION("""COMPUTED_VALUE"""),"Апартаменты")</f>
        <v>Апартаменты</v>
      </c>
      <c r="L25" s="18" t="str">
        <f ca="1">IFERROR(__xludf.DUMMYFUNCTION("""COMPUTED_VALUE"""),"33-72")</f>
        <v>33-72</v>
      </c>
      <c r="M25" s="20" t="str">
        <f ca="1">IFERROR(__xludf.DUMMYFUNCTION("""COMPUTED_VALUE"""),"4 квартал")</f>
        <v>4 квартал</v>
      </c>
      <c r="N25" s="21">
        <f ca="1">IFERROR(__xludf.DUMMYFUNCTION("""COMPUTED_VALUE"""),2026)</f>
        <v>2026</v>
      </c>
      <c r="O25" s="22">
        <f ca="1">IFERROR(__xludf.DUMMYFUNCTION("""COMPUTED_VALUE"""),700)</f>
        <v>700</v>
      </c>
      <c r="P25" s="23" t="str">
        <f ca="1">IFERROR(__xludf.DUMMYFUNCTION("""COMPUTED_VALUE"""),"Выплачивается в полном размере")</f>
        <v>Выплачивается в полном размере</v>
      </c>
      <c r="Q25" s="18"/>
      <c r="R25" s="24" t="str">
        <f ca="1">IFERROR(__xludf.DUMMYFUNCTION("""COMPUTED_VALUE"""),"Батуми")</f>
        <v>Батуми</v>
      </c>
      <c r="S25" s="22" t="str">
        <f ca="1">IFERROR(__xludf.DUMMYFUNCTION("""COMPUTED_VALUE"""),"1 800$ (Floor 3)")</f>
        <v>1 800$ (Floor 3)</v>
      </c>
      <c r="T25" s="25">
        <f ca="1">IFERROR(__xludf.DUMMYFUNCTION("""COMPUTED_VALUE"""),8)</f>
        <v>8</v>
      </c>
      <c r="U25" s="23" t="str">
        <f ca="1">IFERROR(__xludf.DUMMYFUNCTION("""COMPUTED_VALUE"""),"Да")</f>
        <v>Да</v>
      </c>
      <c r="V25" s="19" t="str">
        <f ca="1">IFERROR(__xludf.DUMMYFUNCTION("""COMPUTED_VALUE"""),"Ссылка")</f>
        <v>Ссылка</v>
      </c>
      <c r="W25" s="18"/>
      <c r="X25" s="20" t="str">
        <f ca="1">IFERROR(__xludf.DUMMYFUNCTION("""COMPUTED_VALUE"""),"995 514 009 009 Ия")</f>
        <v>995 514 009 009 Ия</v>
      </c>
      <c r="Y25" s="26">
        <f ca="1">IFERROR(__xludf.DUMMYFUNCTION("""COMPUTED_VALUE"""),0.057)</f>
        <v>5.7000000000000002E-2</v>
      </c>
      <c r="Z25" s="27">
        <f ca="1">IFERROR(__xludf.DUMMYFUNCTION("""COMPUTED_VALUE"""),0.067)</f>
        <v>6.7000000000000004E-2</v>
      </c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spans="1:36" ht="150.75" thickBot="1" x14ac:dyDescent="0.3">
      <c r="A26" s="33" t="str">
        <f ca="1">IFERROR(__xludf.DUMMYFUNCTION("""COMPUTED_VALUE"""),"IKON")</f>
        <v>IKON</v>
      </c>
      <c r="B26" s="18" t="str">
        <f ca="1">IFERROR(__xludf.DUMMYFUNCTION("""COMPUTED_VALUE"""),"IKON ")</f>
        <v xml:space="preserve">IKON </v>
      </c>
      <c r="C26" s="18" t="str">
        <f ca="1">IFERROR(__xludf.DUMMYFUNCTION("""COMPUTED_VALUE""")," ПВ 10%, рассрочка на 28 месяцев (рассрочка уменьшается)
")</f>
        <v xml:space="preserve"> ПВ 10%, рассрочка на 28 месяцев (рассрочка уменьшается)
</v>
      </c>
      <c r="D26" s="18" t="str">
        <f ca="1">IFERROR(__xludf.DUMMYFUNCTION("""COMPUTED_VALUE"""),"ПВ 10% - 50% комиссии, ПВ 15% - 100 % комиссии")</f>
        <v>ПВ 10% - 50% комиссии, ПВ 15% - 100 % комиссии</v>
      </c>
      <c r="E26" s="19" t="str">
        <f ca="1">IFERROR(__xludf.DUMMYFUNCTION("""COMPUTED_VALUE"""),"Ссылка")</f>
        <v>Ссылка</v>
      </c>
      <c r="F26" s="19" t="str">
        <f ca="1">IFERROR(__xludf.DUMMYFUNCTION("""COMPUTED_VALUE"""),"Ссылка")</f>
        <v>Ссылка</v>
      </c>
      <c r="G26" s="19" t="str">
        <f ca="1">IFERROR(__xludf.DUMMYFUNCTION("""COMPUTED_VALUE"""),"Ссылка")</f>
        <v>Ссылка</v>
      </c>
      <c r="H26" s="19" t="str">
        <f ca="1">IFERROR(__xludf.DUMMYFUNCTION("""COMPUTED_VALUE"""),"Яндекс")</f>
        <v>Яндекс</v>
      </c>
      <c r="I26" s="32" t="str">
        <f ca="1">IFERROR(__xludf.DUMMYFUNCTION("""COMPUTED_VALUE"""),"Ссылка")</f>
        <v>Ссылка</v>
      </c>
      <c r="J26" s="18" t="str">
        <f ca="1">IFERROR(__xludf.DUMMYFUNCTION("""COMPUTED_VALUE"""),"WF")</f>
        <v>WF</v>
      </c>
      <c r="K26" s="18" t="str">
        <f ca="1">IFERROR(__xludf.DUMMYFUNCTION("""COMPUTED_VALUE"""),"Жилой")</f>
        <v>Жилой</v>
      </c>
      <c r="L26" s="18" t="str">
        <f ca="1">IFERROR(__xludf.DUMMYFUNCTION("""COMPUTED_VALUE"""),"33,4–71,1")</f>
        <v>33,4–71,1</v>
      </c>
      <c r="M26" s="20" t="str">
        <f ca="1">IFERROR(__xludf.DUMMYFUNCTION("""COMPUTED_VALUE"""),"2 квартал")</f>
        <v>2 квартал</v>
      </c>
      <c r="N26" s="21">
        <f ca="1">IFERROR(__xludf.DUMMYFUNCTION("""COMPUTED_VALUE"""),2027)</f>
        <v>2027</v>
      </c>
      <c r="O26" s="22" t="str">
        <f ca="1">IFERROR(__xludf.DUMMYFUNCTION("""COMPUTED_VALUE"""),"
1100$ Turnkey")</f>
        <v xml:space="preserve">
1100$ Turnkey</v>
      </c>
      <c r="P26" s="23" t="str">
        <f ca="1">IFERROR(__xludf.DUMMYFUNCTION("""COMPUTED_VALUE"""),"50 долларов за квадратный метр")</f>
        <v>50 долларов за квадратный метр</v>
      </c>
      <c r="Q26" s="29">
        <f ca="1">IFERROR(__xludf.DUMMYFUNCTION("""COMPUTED_VALUE"""),21)</f>
        <v>21</v>
      </c>
      <c r="R26" s="24" t="str">
        <f ca="1">IFERROR(__xludf.DUMMYFUNCTION("""COMPUTED_VALUE"""),"Батуми")</f>
        <v>Батуми</v>
      </c>
      <c r="S26" s="22">
        <f ca="1">IFERROR(__xludf.DUMMYFUNCTION("""COMPUTED_VALUE"""),1560)</f>
        <v>1560</v>
      </c>
      <c r="T26" s="25">
        <f ca="1">IFERROR(__xludf.DUMMYFUNCTION("""COMPUTED_VALUE"""),21)</f>
        <v>21</v>
      </c>
      <c r="U26" s="23" t="str">
        <f ca="1">IFERROR(__xludf.DUMMYFUNCTION("""COMPUTED_VALUE"""),"Да")</f>
        <v>Да</v>
      </c>
      <c r="V26" s="18" t="str">
        <f ca="1">IFERROR(__xludf.DUMMYFUNCTION("""COMPUTED_VALUE"""),"-")</f>
        <v>-</v>
      </c>
      <c r="W26" s="18" t="str">
        <f ca="1">IFERROR(__xludf.DUMMYFUNCTION("""COMPUTED_VALUE"""),"Застройщик может предложить закрепленному клиенту квартиру, которой нет в шахматке и по меньшей цене ")</f>
        <v xml:space="preserve">Застройщик может предложить закрепленному клиенту квартиру, которой нет в шахматке и по меньшей цене </v>
      </c>
      <c r="X26" s="20" t="str">
        <f ca="1">IFERROR(__xludf.DUMMYFUNCTION("""COMPUTED_VALUE"""),"995555112959 Иракли")</f>
        <v>995555112959 Иракли</v>
      </c>
      <c r="Y26" s="26">
        <f ca="1">IFERROR(__xludf.DUMMYFUNCTION("""COMPUTED_VALUE"""),0.05)</f>
        <v>0.05</v>
      </c>
      <c r="Z26" s="27">
        <f ca="1">IFERROR(__xludf.DUMMYFUNCTION("""COMPUTED_VALUE"""),0.059)</f>
        <v>5.8999999999999997E-2</v>
      </c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spans="1:36" ht="45.75" thickBot="1" x14ac:dyDescent="0.3">
      <c r="A27" s="17" t="str">
        <f ca="1">IFERROR(__xludf.DUMMYFUNCTION("""COMPUTED_VALUE"""),"KIWI")</f>
        <v>KIWI</v>
      </c>
      <c r="B27" s="18" t="str">
        <f ca="1">IFERROR(__xludf.DUMMYFUNCTION("""COMPUTED_VALUE"""),"Kiwi Villas ")</f>
        <v xml:space="preserve">Kiwi Villas </v>
      </c>
      <c r="C27" s="18" t="str">
        <f ca="1">IFERROR(__xludf.DUMMYFUNCTION("""COMPUTED_VALUE"""),"30%, рассрочка на 18 месяцев")</f>
        <v>30%, рассрочка на 18 месяцев</v>
      </c>
      <c r="D27" s="18" t="str">
        <f ca="1">IFERROR(__xludf.DUMMYFUNCTION("""COMPUTED_VALUE"""),"30% - 100% комиссии")</f>
        <v>30% - 100% комиссии</v>
      </c>
      <c r="E27" s="19" t="str">
        <f ca="1">IFERROR(__xludf.DUMMYFUNCTION("""COMPUTED_VALUE"""),"Ссылка")</f>
        <v>Ссылка</v>
      </c>
      <c r="F27" s="19" t="str">
        <f ca="1">IFERROR(__xludf.DUMMYFUNCTION("""COMPUTED_VALUE"""),"Ссылка")</f>
        <v>Ссылка</v>
      </c>
      <c r="G27" s="19" t="str">
        <f ca="1">IFERROR(__xludf.DUMMYFUNCTION("""COMPUTED_VALUE"""),"Ссылка")</f>
        <v>Ссылка</v>
      </c>
      <c r="H27" s="19" t="str">
        <f ca="1">IFERROR(__xludf.DUMMYFUNCTION("""COMPUTED_VALUE"""),"Яндекс")</f>
        <v>Яндекс</v>
      </c>
      <c r="I27" s="19" t="str">
        <f ca="1">IFERROR(__xludf.DUMMYFUNCTION("""COMPUTED_VALUE"""),"Ссылка")</f>
        <v>Ссылка</v>
      </c>
      <c r="J27" s="18" t="str">
        <f ca="1">IFERROR(__xludf.DUMMYFUNCTION("""COMPUTED_VALUE"""),"WF")</f>
        <v>WF</v>
      </c>
      <c r="K27" s="18" t="str">
        <f ca="1">IFERROR(__xludf.DUMMYFUNCTION("""COMPUTED_VALUE"""),"Вилла")</f>
        <v>Вилла</v>
      </c>
      <c r="L27" s="18">
        <f ca="1">IFERROR(__xludf.DUMMYFUNCTION("""COMPUTED_VALUE"""),300)</f>
        <v>300</v>
      </c>
      <c r="M27" s="20" t="str">
        <f ca="1">IFERROR(__xludf.DUMMYFUNCTION("""COMPUTED_VALUE"""),"июнь")</f>
        <v>июнь</v>
      </c>
      <c r="N27" s="21">
        <f ca="1">IFERROR(__xludf.DUMMYFUNCTION("""COMPUTED_VALUE"""),2026)</f>
        <v>2026</v>
      </c>
      <c r="O27" s="22" t="str">
        <f ca="1">IFERROR(__xludf.DUMMYFUNCTION("""COMPUTED_VALUE"""),"80 000$ GF")</f>
        <v>80 000$ GF</v>
      </c>
      <c r="P27" s="23" t="str">
        <f ca="1">IFERROR(__xludf.DUMMYFUNCTION("""COMPUTED_VALUE"""),"Выплачивается в полном размере")</f>
        <v>Выплачивается в полном размере</v>
      </c>
      <c r="Q27" s="29">
        <f ca="1">IFERROR(__xludf.DUMMYFUNCTION("""COMPUTED_VALUE"""),0.1)</f>
        <v>0.1</v>
      </c>
      <c r="R27" s="24" t="str">
        <f ca="1">IFERROR(__xludf.DUMMYFUNCTION("""COMPUTED_VALUE"""),"Гонио")</f>
        <v>Гонио</v>
      </c>
      <c r="S27" s="22" t="str">
        <f ca="1">IFERROR(__xludf.DUMMYFUNCTION("""COMPUTED_VALUE"""),"250 000$")</f>
        <v>250 000$</v>
      </c>
      <c r="T27" s="25">
        <f ca="1">IFERROR(__xludf.DUMMYFUNCTION("""COMPUTED_VALUE"""),3)</f>
        <v>3</v>
      </c>
      <c r="U27" s="23" t="str">
        <f ca="1">IFERROR(__xludf.DUMMYFUNCTION("""COMPUTED_VALUE"""),"Нет")</f>
        <v>Нет</v>
      </c>
      <c r="V27" s="19" t="str">
        <f ca="1">IFERROR(__xludf.DUMMYFUNCTION("""COMPUTED_VALUE"""),"Ссылка")</f>
        <v>Ссылка</v>
      </c>
      <c r="W27" s="18"/>
      <c r="X27" s="20" t="str">
        <f ca="1">IFERROR(__xludf.DUMMYFUNCTION("""COMPUTED_VALUE"""),"995 557 316 220 Мари")</f>
        <v>995 557 316 220 Мари</v>
      </c>
      <c r="Y27" s="26">
        <f ca="1">IFERROR(__xludf.DUMMYFUNCTION("""COMPUTED_VALUE"""),0.057)</f>
        <v>5.7000000000000002E-2</v>
      </c>
      <c r="Z27" s="27">
        <f ca="1">IFERROR(__xludf.DUMMYFUNCTION("""COMPUTED_VALUE"""),0.067)</f>
        <v>6.7000000000000004E-2</v>
      </c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spans="1:36" ht="135.75" thickBot="1" x14ac:dyDescent="0.3">
      <c r="A28" s="17" t="str">
        <f ca="1">IFERROR(__xludf.DUMMYFUNCTION("""COMPUTED_VALUE"""),"KKC GROUP")</f>
        <v>KKC GROUP</v>
      </c>
      <c r="B28" s="18" t="str">
        <f ca="1">IFERROR(__xludf.DUMMYFUNCTION("""COMPUTED_VALUE"""),"Leon Towers")</f>
        <v>Leon Towers</v>
      </c>
      <c r="C28" s="18" t="str">
        <f ca="1">IFERROR(__xludf.DUMMYFUNCTION("""COMPUTED_VALUE"""),"ПВ 15% ,  рассрочка до 24 месяцев ")</f>
        <v xml:space="preserve">ПВ 15% ,  рассрочка до 24 месяцев </v>
      </c>
      <c r="D28" s="18" t="str">
        <f ca="1">IFERROR(__xludf.DUMMYFUNCTION("""COMPUTED_VALUE"""),"ПВ меньше 50% - 50% комиссии, когда дойдет до ПВ 50% - еще 50% комиссии
ПВ 50%- 100% комиссии")</f>
        <v>ПВ меньше 50% - 50% комиссии, когда дойдет до ПВ 50% - еще 50% комиссии
ПВ 50%- 100% комиссии</v>
      </c>
      <c r="E28" s="19" t="str">
        <f ca="1">IFERROR(__xludf.DUMMYFUNCTION("""COMPUTED_VALUE"""),"Ссылка")</f>
        <v>Ссылка</v>
      </c>
      <c r="F28" s="19" t="str">
        <f ca="1">IFERROR(__xludf.DUMMYFUNCTION("""COMPUTED_VALUE"""),"Ссылка")</f>
        <v>Ссылка</v>
      </c>
      <c r="G28" s="19" t="str">
        <f ca="1">IFERROR(__xludf.DUMMYFUNCTION("""COMPUTED_VALUE"""),"Ссылка")</f>
        <v>Ссылка</v>
      </c>
      <c r="H28" s="19" t="str">
        <f ca="1">IFERROR(__xludf.DUMMYFUNCTION("""COMPUTED_VALUE"""),"Яндекс")</f>
        <v>Яндекс</v>
      </c>
      <c r="I28" s="19" t="str">
        <f ca="1">IFERROR(__xludf.DUMMYFUNCTION("""COMPUTED_VALUE"""),"Ссылка")</f>
        <v>Ссылка</v>
      </c>
      <c r="J28" s="18" t="str">
        <f ca="1">IFERROR(__xludf.DUMMYFUNCTION("""COMPUTED_VALUE"""),"WF")</f>
        <v>WF</v>
      </c>
      <c r="K28" s="18" t="str">
        <f ca="1">IFERROR(__xludf.DUMMYFUNCTION("""COMPUTED_VALUE"""),"Жилой")</f>
        <v>Жилой</v>
      </c>
      <c r="L28" s="18" t="str">
        <f ca="1">IFERROR(__xludf.DUMMYFUNCTION("""COMPUTED_VALUE"""),"30–216")</f>
        <v>30–216</v>
      </c>
      <c r="M28" s="20" t="str">
        <f ca="1">IFERROR(__xludf.DUMMYFUNCTION("""COMPUTED_VALUE"""),"2 квартал")</f>
        <v>2 квартал</v>
      </c>
      <c r="N28" s="21">
        <f ca="1">IFERROR(__xludf.DUMMYFUNCTION("""COMPUTED_VALUE"""),2026)</f>
        <v>2026</v>
      </c>
      <c r="O28" s="22" t="str">
        <f ca="1">IFERROR(__xludf.DUMMYFUNCTION("""COMPUTED_VALUE"""),"ремонт под ключ 550 долл")</f>
        <v>ремонт под ключ 550 долл</v>
      </c>
      <c r="P28" s="23" t="str">
        <f ca="1">IFERROR(__xludf.DUMMYFUNCTION("""COMPUTED_VALUE"""),"-")</f>
        <v>-</v>
      </c>
      <c r="Q28" s="18"/>
      <c r="R28" s="24" t="str">
        <f ca="1">IFERROR(__xludf.DUMMYFUNCTION("""COMPUTED_VALUE"""),"Батуми")</f>
        <v>Батуми</v>
      </c>
      <c r="S28" s="22" t="str">
        <f ca="1">IFERROR(__xludf.DUMMYFUNCTION("""COMPUTED_VALUE"""),"62,650$")</f>
        <v>62,650$</v>
      </c>
      <c r="T28" s="25">
        <f ca="1">IFERROR(__xludf.DUMMYFUNCTION("""COMPUTED_VALUE"""),16)</f>
        <v>16</v>
      </c>
      <c r="U28" s="23" t="str">
        <f ca="1">IFERROR(__xludf.DUMMYFUNCTION("""COMPUTED_VALUE"""),"Да")</f>
        <v>Да</v>
      </c>
      <c r="V28" s="18"/>
      <c r="W28" s="18"/>
      <c r="X28" s="20" t="str">
        <f ca="1">IFERROR(__xludf.DUMMYFUNCTION("""COMPUTED_VALUE"""),"995 555 100 606 Елена, 995 551 87 06 06 Катерина")</f>
        <v>995 555 100 606 Елена, 995 551 87 06 06 Катерина</v>
      </c>
      <c r="Y28" s="26">
        <f ca="1">IFERROR(__xludf.DUMMYFUNCTION("""COMPUTED_VALUE"""),0.04)</f>
        <v>0.04</v>
      </c>
      <c r="Z28" s="27">
        <f ca="1">IFERROR(__xludf.DUMMYFUNCTION("""COMPUTED_VALUE"""),0.047)</f>
        <v>4.7E-2</v>
      </c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spans="1:36" ht="45.75" thickBot="1" x14ac:dyDescent="0.3">
      <c r="A29" s="17" t="str">
        <f ca="1">IFERROR(__xludf.DUMMYFUNCTION("""COMPUTED_VALUE"""),"KKC GROUP")</f>
        <v>KKC GROUP</v>
      </c>
      <c r="B29" s="18" t="str">
        <f ca="1">IFERROR(__xludf.DUMMYFUNCTION("""COMPUTED_VALUE"""),"Grand Towers")</f>
        <v>Grand Towers</v>
      </c>
      <c r="C29" s="18" t="str">
        <f ca="1">IFERROR(__xludf.DUMMYFUNCTION("""COMPUTED_VALUE"""),"20%, рассрочка на 24 месяцев ")</f>
        <v xml:space="preserve">20%, рассрочка на 24 месяцев </v>
      </c>
      <c r="D29" s="18" t="str">
        <f ca="1">IFERROR(__xludf.DUMMYFUNCTION("""COMPUTED_VALUE"""),"ПВ 20%- 100% комиссии")</f>
        <v>ПВ 20%- 100% комиссии</v>
      </c>
      <c r="E29" s="19" t="str">
        <f ca="1">IFERROR(__xludf.DUMMYFUNCTION("""COMPUTED_VALUE"""),"Ссылка")</f>
        <v>Ссылка</v>
      </c>
      <c r="F29" s="19" t="str">
        <f ca="1">IFERROR(__xludf.DUMMYFUNCTION("""COMPUTED_VALUE"""),"Ссылка")</f>
        <v>Ссылка</v>
      </c>
      <c r="G29" s="19" t="str">
        <f ca="1">IFERROR(__xludf.DUMMYFUNCTION("""COMPUTED_VALUE"""),"Ссылка")</f>
        <v>Ссылка</v>
      </c>
      <c r="H29" s="19" t="str">
        <f ca="1">IFERROR(__xludf.DUMMYFUNCTION("""COMPUTED_VALUE"""),"Ссылка")</f>
        <v>Ссылка</v>
      </c>
      <c r="I29" s="19" t="str">
        <f ca="1">IFERROR(__xludf.DUMMYFUNCTION("""COMPUTED_VALUE"""),"Ссылка")</f>
        <v>Ссылка</v>
      </c>
      <c r="J29" s="18" t="str">
        <f ca="1">IFERROR(__xludf.DUMMYFUNCTION("""COMPUTED_VALUE"""),"WF")</f>
        <v>WF</v>
      </c>
      <c r="K29" s="18" t="str">
        <f ca="1">IFERROR(__xludf.DUMMYFUNCTION("""COMPUTED_VALUE"""),"Апартаменты")</f>
        <v>Апартаменты</v>
      </c>
      <c r="L29" s="18" t="str">
        <f ca="1">IFERROR(__xludf.DUMMYFUNCTION("""COMPUTED_VALUE"""),"29.9 - 96.6")</f>
        <v>29.9 - 96.6</v>
      </c>
      <c r="M29" s="20" t="str">
        <f ca="1">IFERROR(__xludf.DUMMYFUNCTION("""COMPUTED_VALUE"""),"декабрь")</f>
        <v>декабрь</v>
      </c>
      <c r="N29" s="21" t="str">
        <f ca="1">IFERROR(__xludf.DUMMYFUNCTION("""COMPUTED_VALUE"""),"Блок А 2025
Блок B 2026")</f>
        <v>Блок А 2025
Блок B 2026</v>
      </c>
      <c r="O29" s="22" t="str">
        <f ca="1">IFERROR(__xludf.DUMMYFUNCTION("""COMPUTED_VALUE"""),"400$ под ключ")</f>
        <v>400$ под ключ</v>
      </c>
      <c r="P29" s="23" t="str">
        <f ca="1">IFERROR(__xludf.DUMMYFUNCTION("""COMPUTED_VALUE"""),"-")</f>
        <v>-</v>
      </c>
      <c r="Q29" s="18"/>
      <c r="R29" s="24" t="str">
        <f ca="1">IFERROR(__xludf.DUMMYFUNCTION("""COMPUTED_VALUE"""),"Батуми")</f>
        <v>Батуми</v>
      </c>
      <c r="S29" s="22" t="str">
        <f ca="1">IFERROR(__xludf.DUMMYFUNCTION("""COMPUTED_VALUE"""),"1200$ Блок B
1470$ Блок A")</f>
        <v>1200$ Блок B
1470$ Блок A</v>
      </c>
      <c r="T29" s="25" t="str">
        <f ca="1">IFERROR(__xludf.DUMMYFUNCTION("""COMPUTED_VALUE"""),"27, 30")</f>
        <v>27, 30</v>
      </c>
      <c r="U29" s="23" t="str">
        <f ca="1">IFERROR(__xludf.DUMMYFUNCTION("""COMPUTED_VALUE"""),"Нет")</f>
        <v>Нет</v>
      </c>
      <c r="V29" s="18"/>
      <c r="W29" s="18"/>
      <c r="X29" s="20" t="str">
        <f ca="1">IFERROR(__xludf.DUMMYFUNCTION("""COMPUTED_VALUE"""),"995 577 96 60 60 Рауль, 995 593 01 44 44 Мари")</f>
        <v>995 577 96 60 60 Рауль, 995 593 01 44 44 Мари</v>
      </c>
      <c r="Y29" s="26">
        <f ca="1">IFERROR(__xludf.DUMMYFUNCTION("""COMPUTED_VALUE"""),0.04)</f>
        <v>0.04</v>
      </c>
      <c r="Z29" s="27">
        <f ca="1">IFERROR(__xludf.DUMMYFUNCTION("""COMPUTED_VALUE"""),0.047)</f>
        <v>4.7E-2</v>
      </c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spans="1:36" ht="90.75" thickBot="1" x14ac:dyDescent="0.3">
      <c r="A30" s="17" t="str">
        <f ca="1">IFERROR(__xludf.DUMMYFUNCTION("""COMPUTED_VALUE"""),"LIKE HOUSE")</f>
        <v>LIKE HOUSE</v>
      </c>
      <c r="B30" s="18" t="str">
        <f ca="1">IFERROR(__xludf.DUMMYFUNCTION("""COMPUTED_VALUE"""),"Blue Sky")</f>
        <v>Blue Sky</v>
      </c>
      <c r="C30" s="18" t="str">
        <f ca="1">IFERROR(__xludf.DUMMYFUNCTION("""COMPUTED_VALUE"""),"ПВ 30%, рассрочка на 11 месяцев. ")</f>
        <v xml:space="preserve">ПВ 30%, рассрочка на 11 месяцев. </v>
      </c>
      <c r="D30" s="18" t="str">
        <f ca="1">IFERROR(__xludf.DUMMYFUNCTION("""COMPUTED_VALUE"""),"ПВ 30% - 100% комиссии")</f>
        <v>ПВ 30% - 100% комиссии</v>
      </c>
      <c r="E30" s="19" t="str">
        <f ca="1">IFERROR(__xludf.DUMMYFUNCTION("""COMPUTED_VALUE"""),"Ссылка")</f>
        <v>Ссылка</v>
      </c>
      <c r="F30" s="19" t="str">
        <f ca="1">IFERROR(__xludf.DUMMYFUNCTION("""COMPUTED_VALUE"""),"Ссылка")</f>
        <v>Ссылка</v>
      </c>
      <c r="G30" s="19" t="str">
        <f ca="1">IFERROR(__xludf.DUMMYFUNCTION("""COMPUTED_VALUE"""),"Ссылка")</f>
        <v>Ссылка</v>
      </c>
      <c r="H30" s="19" t="str">
        <f ca="1">IFERROR(__xludf.DUMMYFUNCTION("""COMPUTED_VALUE"""),"Яндекс")</f>
        <v>Яндекс</v>
      </c>
      <c r="I30" s="19" t="str">
        <f ca="1">IFERROR(__xludf.DUMMYFUNCTION("""COMPUTED_VALUE"""),"Ссылка")</f>
        <v>Ссылка</v>
      </c>
      <c r="J30" s="18" t="str">
        <f ca="1">IFERROR(__xludf.DUMMYFUNCTION("""COMPUTED_VALUE"""),"Блок A Turnkey
Блок B WF")</f>
        <v>Блок A Turnkey
Блок B WF</v>
      </c>
      <c r="K30" s="18" t="str">
        <f ca="1">IFERROR(__xludf.DUMMYFUNCTION("""COMPUTED_VALUE"""),"Апартаменты")</f>
        <v>Апартаменты</v>
      </c>
      <c r="L30" s="18" t="str">
        <f ca="1">IFERROR(__xludf.DUMMYFUNCTION("""COMPUTED_VALUE"""),"26-66")</f>
        <v>26-66</v>
      </c>
      <c r="M30" s="20" t="str">
        <f ca="1">IFERROR(__xludf.DUMMYFUNCTION("""COMPUTED_VALUE"""),"Блок B 4 квартал
Блок A 4 квартал")</f>
        <v>Блок B 4 квартал
Блок A 4 квартал</v>
      </c>
      <c r="N30" s="21" t="str">
        <f ca="1">IFERROR(__xludf.DUMMYFUNCTION("""COMPUTED_VALUE"""),"Блок B 2025
Блок A 2025")</f>
        <v>Блок B 2025
Блок A 2025</v>
      </c>
      <c r="O30" s="22" t="str">
        <f ca="1">IFERROR(__xludf.DUMMYFUNCTION("""COMPUTED_VALUE"""),"-")</f>
        <v>-</v>
      </c>
      <c r="P30" s="23" t="str">
        <f ca="1">IFERROR(__xludf.DUMMYFUNCTION("""COMPUTED_VALUE"""),"Выплачивается в полном размере")</f>
        <v>Выплачивается в полном размере</v>
      </c>
      <c r="Q30" s="18"/>
      <c r="R30" s="24" t="str">
        <f ca="1">IFERROR(__xludf.DUMMYFUNCTION("""COMPUTED_VALUE"""),"Батуми")</f>
        <v>Батуми</v>
      </c>
      <c r="S30" s="22" t="str">
        <f ca="1">IFERROR(__xludf.DUMMYFUNCTION("""COMPUTED_VALUE"""),"2 250$ (Block A)
1 675$ (Block B)")</f>
        <v>2 250$ (Block A)
1 675$ (Block B)</v>
      </c>
      <c r="T30" s="25">
        <f ca="1">IFERROR(__xludf.DUMMYFUNCTION("""COMPUTED_VALUE"""),36)</f>
        <v>36</v>
      </c>
      <c r="U30" s="23" t="str">
        <f ca="1">IFERROR(__xludf.DUMMYFUNCTION("""COMPUTED_VALUE"""),"Да в блоке А, по блоку B самостоятельно")</f>
        <v>Да в блоке А, по блоку B самостоятельно</v>
      </c>
      <c r="V30" s="18" t="str">
        <f ca="1">IFERROR(__xludf.DUMMYFUNCTION("""COMPUTED_VALUE"""),"-")</f>
        <v>-</v>
      </c>
      <c r="W30" s="18"/>
      <c r="X30" s="20" t="str">
        <f ca="1">IFERROR(__xludf.DUMMYFUNCTION("""COMPUTED_VALUE"""),"995 514 8471 71 Кристина, постсейл: 995 514 937 171 Мариета, 995 514 297 171 Лука")</f>
        <v>995 514 8471 71 Кристина, постсейл: 995 514 937 171 Мариета, 995 514 297 171 Лука</v>
      </c>
      <c r="Y30" s="26">
        <f ca="1">IFERROR(__xludf.DUMMYFUNCTION("""COMPUTED_VALUE"""),0.05)</f>
        <v>0.05</v>
      </c>
      <c r="Z30" s="27">
        <f ca="1">IFERROR(__xludf.DUMMYFUNCTION("""COMPUTED_VALUE"""),0.059)</f>
        <v>5.8999999999999997E-2</v>
      </c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spans="1:36" ht="150.75" thickBot="1" x14ac:dyDescent="0.3">
      <c r="A31" s="17" t="str">
        <f ca="1">IFERROR(__xludf.DUMMYFUNCTION("""COMPUTED_VALUE"""),"LIKE HOUSE")</f>
        <v>LIKE HOUSE</v>
      </c>
      <c r="B31" s="18" t="str">
        <f ca="1">IFERROR(__xludf.DUMMYFUNCTION("""COMPUTED_VALUE"""),"Prime Residence")</f>
        <v>Prime Residence</v>
      </c>
      <c r="C31" s="18" t="str">
        <f ca="1">IFERROR(__xludf.DUMMYFUNCTION("""COMPUTED_VALUE"""),"* 30% первоначальный взнос + рассрочка на 18 месяцев
* 30% первоначальный взнос + 1 000 USD ежемесячно в течение 11 месяцев, на 12-й месяц — остаток (к примеру, уход в ипотеку через наш банк партнер TBC)
* 20% первоначальный взнос + 1 500 USD ежемесячно в"&amp;" течение 11 месяцев, на 12-й месяц — остаток (к примеру, уход в ипотеку через наш банк партнер TBC)")</f>
        <v>* 30% первоначальный взнос + рассрочка на 18 месяцев
* 30% первоначальный взнос + 1 000 USD ежемесячно в течение 11 месяцев, на 12-й месяц — остаток (к примеру, уход в ипотеку через наш банк партнер TBC)
* 20% первоначальный взнос + 1 500 USD ежемесячно в течение 11 месяцев, на 12-й месяц — остаток (к примеру, уход в ипотеку через наш банк партнер TBC)</v>
      </c>
      <c r="D31" s="18" t="str">
        <f ca="1">IFERROR(__xludf.DUMMYFUNCTION("""COMPUTED_VALUE"""),"ПВ 20% - 100% комиссии")</f>
        <v>ПВ 20% - 100% комиссии</v>
      </c>
      <c r="E31" s="19" t="str">
        <f ca="1">IFERROR(__xludf.DUMMYFUNCTION("""COMPUTED_VALUE"""),"Ссылка")</f>
        <v>Ссылка</v>
      </c>
      <c r="F31" s="19" t="str">
        <f ca="1">IFERROR(__xludf.DUMMYFUNCTION("""COMPUTED_VALUE"""),"Ссылка")</f>
        <v>Ссылка</v>
      </c>
      <c r="G31" s="19" t="str">
        <f ca="1">IFERROR(__xludf.DUMMYFUNCTION("""COMPUTED_VALUE"""),"Ссылка")</f>
        <v>Ссылка</v>
      </c>
      <c r="H31" s="19" t="str">
        <f ca="1">IFERROR(__xludf.DUMMYFUNCTION("""COMPUTED_VALUE"""),"Яндекс")</f>
        <v>Яндекс</v>
      </c>
      <c r="I31" s="19" t="str">
        <f ca="1">IFERROR(__xludf.DUMMYFUNCTION("""COMPUTED_VALUE"""),"Ссылка")</f>
        <v>Ссылка</v>
      </c>
      <c r="J31" s="18" t="str">
        <f ca="1">IFERROR(__xludf.DUMMYFUNCTION("""COMPUTED_VALUE"""),"WF")</f>
        <v>WF</v>
      </c>
      <c r="K31" s="18" t="str">
        <f ca="1">IFERROR(__xludf.DUMMYFUNCTION("""COMPUTED_VALUE"""),"Жилой")</f>
        <v>Жилой</v>
      </c>
      <c r="L31" s="18" t="str">
        <f ca="1">IFERROR(__xludf.DUMMYFUNCTION("""COMPUTED_VALUE"""),"29-54")</f>
        <v>29-54</v>
      </c>
      <c r="M31" s="20" t="str">
        <f ca="1">IFERROR(__xludf.DUMMYFUNCTION("""COMPUTED_VALUE"""),"4 квартал")</f>
        <v>4 квартал</v>
      </c>
      <c r="N31" s="21">
        <f ca="1">IFERROR(__xludf.DUMMYFUNCTION("""COMPUTED_VALUE"""),2025)</f>
        <v>2025</v>
      </c>
      <c r="O31" s="22" t="str">
        <f ca="1">IFERROR(__xludf.DUMMYFUNCTION("""COMPUTED_VALUE"""),"400$ косметический ремонт, без мебели. 650$ под ключ")</f>
        <v>400$ косметический ремонт, без мебели. 650$ под ключ</v>
      </c>
      <c r="P31" s="23" t="str">
        <f ca="1">IFERROR(__xludf.DUMMYFUNCTION("""COMPUTED_VALUE"""),"Выплачивается в полном размере")</f>
        <v>Выплачивается в полном размере</v>
      </c>
      <c r="Q31" s="18"/>
      <c r="R31" s="24" t="str">
        <f ca="1">IFERROR(__xludf.DUMMYFUNCTION("""COMPUTED_VALUE"""),"Батуми")</f>
        <v>Батуми</v>
      </c>
      <c r="S31" s="22" t="str">
        <f ca="1">IFERROR(__xludf.DUMMYFUNCTION("""COMPUTED_VALUE"""),"1 365$ (Floor 3)")</f>
        <v>1 365$ (Floor 3)</v>
      </c>
      <c r="T31" s="25">
        <f ca="1">IFERROR(__xludf.DUMMYFUNCTION("""COMPUTED_VALUE"""),19)</f>
        <v>19</v>
      </c>
      <c r="U31" s="23" t="str">
        <f ca="1">IFERROR(__xludf.DUMMYFUNCTION("""COMPUTED_VALUE"""),"Самостоятельно")</f>
        <v>Самостоятельно</v>
      </c>
      <c r="V31" s="18" t="str">
        <f ca="1">IFERROR(__xludf.DUMMYFUNCTION("""COMPUTED_VALUE"""),"-")</f>
        <v>-</v>
      </c>
      <c r="W31" s="18"/>
      <c r="X31" s="20" t="str">
        <f ca="1">IFERROR(__xludf.DUMMYFUNCTION("""COMPUTED_VALUE"""),"995 514 8471 71 Кристина, постсейл: 995 514 937 171 Мариета, 995 514 297 171 Лука")</f>
        <v>995 514 8471 71 Кристина, постсейл: 995 514 937 171 Мариета, 995 514 297 171 Лука</v>
      </c>
      <c r="Y31" s="26">
        <f ca="1">IFERROR(__xludf.DUMMYFUNCTION("""COMPUTED_VALUE"""),0.05)</f>
        <v>0.05</v>
      </c>
      <c r="Z31" s="27">
        <f ca="1">IFERROR(__xludf.DUMMYFUNCTION("""COMPUTED_VALUE"""),0.059)</f>
        <v>5.8999999999999997E-2</v>
      </c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spans="1:36" ht="195.75" thickBot="1" x14ac:dyDescent="0.3">
      <c r="A32" s="17" t="str">
        <f ca="1">IFERROR(__xludf.DUMMYFUNCTION("""COMPUTED_VALUE"""),"LISI DEVELOPMENT")</f>
        <v>LISI DEVELOPMENT</v>
      </c>
      <c r="B32" s="18" t="str">
        <f ca="1">IFERROR(__xludf.DUMMYFUNCTION("""COMPUTED_VALUE"""),"Buknari (A)")</f>
        <v>Buknari (A)</v>
      </c>
      <c r="C32" s="18" t="str">
        <f ca="1">IFERROR(__xludf.DUMMYFUNCTION("""COMPUTED_VALUE"""),"График оплаты: блок A
        •        20% — первоначальный взнос в Мая
        •        20% — второй транш
        •        20% — третий транш
        •        20% — четвёртый транш
        •        20% — пятый транш до мая 2026 года включительно
Обслуж"&amp;"ивание за КВ метр 2,2$
Беспроцентная рассрочка включая Мая 2026
Возможность оплаты в USDT
")</f>
        <v xml:space="preserve">График оплаты: блок A
        •        20% — первоначальный взнос в Мая
        •        20% — второй транш
        •        20% — третий транш
        •        20% — четвёртый транш
        •        20% — пятый транш до мая 2026 года включительно
Обслуживание за КВ метр 2,2$
Беспроцентная рассрочка включая Мая 2026
Возможность оплаты в USDT
</v>
      </c>
      <c r="D32" s="18"/>
      <c r="E32" s="18"/>
      <c r="F32" s="18"/>
      <c r="G32" s="19" t="str">
        <f ca="1">IFERROR(__xludf.DUMMYFUNCTION("""COMPUTED_VALUE"""),"Ссылка")</f>
        <v>Ссылка</v>
      </c>
      <c r="H32" s="19" t="str">
        <f ca="1">IFERROR(__xludf.DUMMYFUNCTION("""COMPUTED_VALUE"""),"Яндекс")</f>
        <v>Яндекс</v>
      </c>
      <c r="I32" s="19" t="str">
        <f ca="1">IFERROR(__xludf.DUMMYFUNCTION("""COMPUTED_VALUE"""),"Ссылка")</f>
        <v>Ссылка</v>
      </c>
      <c r="J32" s="18" t="str">
        <f ca="1">IFERROR(__xludf.DUMMYFUNCTION("""COMPUTED_VALUE"""),"Turnkey")</f>
        <v>Turnkey</v>
      </c>
      <c r="K32" s="18" t="str">
        <f ca="1">IFERROR(__xludf.DUMMYFUNCTION("""COMPUTED_VALUE"""),"Апартаменты")</f>
        <v>Апартаменты</v>
      </c>
      <c r="L32" s="18" t="str">
        <f ca="1">IFERROR(__xludf.DUMMYFUNCTION("""COMPUTED_VALUE"""),"34–106")</f>
        <v>34–106</v>
      </c>
      <c r="M32" s="20" t="str">
        <f ca="1">IFERROR(__xludf.DUMMYFUNCTION("""COMPUTED_VALUE"""),"4 квартал")</f>
        <v>4 квартал</v>
      </c>
      <c r="N32" s="21">
        <f ca="1">IFERROR(__xludf.DUMMYFUNCTION("""COMPUTED_VALUE"""),2026)</f>
        <v>2026</v>
      </c>
      <c r="O32" s="18"/>
      <c r="P32" s="23" t="str">
        <f ca="1">IFERROR(__xludf.DUMMYFUNCTION("""COMPUTED_VALUE"""),"Выплачивается в полном размере")</f>
        <v>Выплачивается в полном размере</v>
      </c>
      <c r="Q32" s="18"/>
      <c r="R32" s="24" t="str">
        <f ca="1">IFERROR(__xludf.DUMMYFUNCTION("""COMPUTED_VALUE"""),"Букнари")</f>
        <v>Букнари</v>
      </c>
      <c r="S32" s="22" t="str">
        <f ca="1">IFERROR(__xludf.DUMMYFUNCTION("""COMPUTED_VALUE"""),"3300$ состояние под ключ 
")</f>
        <v xml:space="preserve">3300$ состояние под ключ 
</v>
      </c>
      <c r="T32" s="25">
        <f ca="1">IFERROR(__xludf.DUMMYFUNCTION("""COMPUTED_VALUE"""),9)</f>
        <v>9</v>
      </c>
      <c r="U32" s="23" t="str">
        <f ca="1">IFERROR(__xludf.DUMMYFUNCTION("""COMPUTED_VALUE"""),"нет")</f>
        <v>нет</v>
      </c>
      <c r="V32" s="18"/>
      <c r="W32" s="18"/>
      <c r="X32" s="20" t="str">
        <f ca="1">IFERROR(__xludf.DUMMYFUNCTION("""COMPUTED_VALUE"""),"995 500 50 50 11 Тамара")</f>
        <v>995 500 50 50 11 Тамара</v>
      </c>
      <c r="Y32" s="26">
        <f ca="1">IFERROR(__xludf.DUMMYFUNCTION("""COMPUTED_VALUE"""),0.057)</f>
        <v>5.7000000000000002E-2</v>
      </c>
      <c r="Z32" s="27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spans="1:36" ht="120.75" thickBot="1" x14ac:dyDescent="0.3">
      <c r="A33" s="17" t="str">
        <f ca="1">IFERROR(__xludf.DUMMYFUNCTION("""COMPUTED_VALUE"""),"LISI DEVELOPMENT")</f>
        <v>LISI DEVELOPMENT</v>
      </c>
      <c r="B33" s="18" t="str">
        <f ca="1">IFERROR(__xludf.DUMMYFUNCTION("""COMPUTED_VALUE"""),"Buknari (B)")</f>
        <v>Buknari (B)</v>
      </c>
      <c r="C33" s="18" t="str">
        <f ca="1">IFERROR(__xludf.DUMMYFUNCTION("""COMPUTED_VALUE"""),"
блок Б - рассрочка до декабря 2027 года
        •        20% — первый взнос
        •        80% — до декабря 2027 года
")</f>
        <v xml:space="preserve">
блок Б - рассрочка до декабря 2027 года
        •        20% — первый взнос
        •        80% — до декабря 2027 года
</v>
      </c>
      <c r="D33" s="18" t="str">
        <f ca="1">IFERROR(__xludf.DUMMYFUNCTION("""COMPUTED_VALUE"""),"ПВ 20% - 100% комиссии")</f>
        <v>ПВ 20% - 100% комиссии</v>
      </c>
      <c r="E33" s="19" t="str">
        <f ca="1">IFERROR(__xludf.DUMMYFUNCTION("""COMPUTED_VALUE"""),"Ссылка")</f>
        <v>Ссылка</v>
      </c>
      <c r="F33" s="19" t="str">
        <f ca="1">IFERROR(__xludf.DUMMYFUNCTION("""COMPUTED_VALUE"""),"Ссылка")</f>
        <v>Ссылка</v>
      </c>
      <c r="G33" s="19" t="str">
        <f ca="1">IFERROR(__xludf.DUMMYFUNCTION("""COMPUTED_VALUE"""),"Ссылка")</f>
        <v>Ссылка</v>
      </c>
      <c r="H33" s="19" t="str">
        <f ca="1">IFERROR(__xludf.DUMMYFUNCTION("""COMPUTED_VALUE"""),"Яндекс")</f>
        <v>Яндекс</v>
      </c>
      <c r="I33" s="19" t="str">
        <f ca="1">IFERROR(__xludf.DUMMYFUNCTION("""COMPUTED_VALUE"""),"Ссылка")</f>
        <v>Ссылка</v>
      </c>
      <c r="J33" s="18" t="str">
        <f ca="1">IFERROR(__xludf.DUMMYFUNCTION("""COMPUTED_VALUE"""),"Turnkey")</f>
        <v>Turnkey</v>
      </c>
      <c r="K33" s="18" t="str">
        <f ca="1">IFERROR(__xludf.DUMMYFUNCTION("""COMPUTED_VALUE"""),"Апартаменты")</f>
        <v>Апартаменты</v>
      </c>
      <c r="L33" s="18" t="str">
        <f ca="1">IFERROR(__xludf.DUMMYFUNCTION("""COMPUTED_VALUE"""),"29–78")</f>
        <v>29–78</v>
      </c>
      <c r="M33" s="20" t="str">
        <f ca="1">IFERROR(__xludf.DUMMYFUNCTION("""COMPUTED_VALUE"""),"Декабрь")</f>
        <v>Декабрь</v>
      </c>
      <c r="N33" s="21">
        <f ca="1">IFERROR(__xludf.DUMMYFUNCTION("""COMPUTED_VALUE"""),2027)</f>
        <v>2027</v>
      </c>
      <c r="O33" s="22" t="str">
        <f ca="1">IFERROR(__xludf.DUMMYFUNCTION("""COMPUTED_VALUE"""),"-")</f>
        <v>-</v>
      </c>
      <c r="P33" s="23" t="str">
        <f ca="1">IFERROR(__xludf.DUMMYFUNCTION("""COMPUTED_VALUE"""),"Выплачивается в полном размере")</f>
        <v>Выплачивается в полном размере</v>
      </c>
      <c r="Q33" s="18"/>
      <c r="R33" s="24" t="str">
        <f ca="1">IFERROR(__xludf.DUMMYFUNCTION("""COMPUTED_VALUE"""),"Букнари")</f>
        <v>Букнари</v>
      </c>
      <c r="S33" s="22" t="str">
        <f ca="1">IFERROR(__xludf.DUMMYFUNCTION("""COMPUTED_VALUE"""),"
WF: 2 189$
IF: 2 878$
Turnkey: 3 322$")</f>
        <v xml:space="preserve">
WF: 2 189$
IF: 2 878$
Turnkey: 3 322$</v>
      </c>
      <c r="T33" s="25">
        <f ca="1">IFERROR(__xludf.DUMMYFUNCTION("""COMPUTED_VALUE"""),9)</f>
        <v>9</v>
      </c>
      <c r="U33" s="23" t="str">
        <f ca="1">IFERROR(__xludf.DUMMYFUNCTION("""COMPUTED_VALUE"""),"нет")</f>
        <v>нет</v>
      </c>
      <c r="V33" s="18" t="str">
        <f ca="1">IFERROR(__xludf.DUMMYFUNCTION("""COMPUTED_VALUE"""),"-")</f>
        <v>-</v>
      </c>
      <c r="W33" s="18"/>
      <c r="X33" s="20" t="str">
        <f ca="1">IFERROR(__xludf.DUMMYFUNCTION("""COMPUTED_VALUE"""),"995 500 50 50 11 Тамара")</f>
        <v>995 500 50 50 11 Тамара</v>
      </c>
      <c r="Y33" s="26">
        <f ca="1">IFERROR(__xludf.DUMMYFUNCTION("""COMPUTED_VALUE"""),0.057)</f>
        <v>5.7000000000000002E-2</v>
      </c>
      <c r="Z33" s="27">
        <f ca="1">IFERROR(__xludf.DUMMYFUNCTION("""COMPUTED_VALUE"""),0.067)</f>
        <v>6.7000000000000004E-2</v>
      </c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spans="1:36" ht="135.75" thickBot="1" x14ac:dyDescent="0.3">
      <c r="A34" s="17" t="str">
        <f ca="1">IFERROR(__xludf.DUMMYFUNCTION("""COMPUTED_VALUE"""),"METROPOL")</f>
        <v>METROPOL</v>
      </c>
      <c r="B34" s="18" t="str">
        <f ca="1">IFERROR(__xludf.DUMMYFUNCTION("""COMPUTED_VALUE"""),"Cube")</f>
        <v>Cube</v>
      </c>
      <c r="C34" s="18" t="str">
        <f ca="1">IFERROR(__xludf.DUMMYFUNCTION("""COMPUTED_VALUE""")," 1 вариант: 0/40/60 в июне 2028
2 вариант:
* 5% — первоначальный взнос
* 20% — рассрочка до июня 2028 года
* 75% — финальный платёж при сдаче объекта в июне 2028 года
")</f>
        <v xml:space="preserve"> 1 вариант: 0/40/60 в июне 2028
2 вариант:
* 5% — первоначальный взнос
* 20% — рассрочка до июня 2028 года
* 75% — финальный платёж при сдаче объекта в июне 2028 года
</v>
      </c>
      <c r="D34" s="18" t="str">
        <f ca="1">IFERROR(__xludf.DUMMYFUNCTION("""COMPUTED_VALUE"""),"При ПВ 15% - 100% комиссии. ")</f>
        <v xml:space="preserve">При ПВ 15% - 100% комиссии. </v>
      </c>
      <c r="E34" s="19" t="str">
        <f ca="1">IFERROR(__xludf.DUMMYFUNCTION("""COMPUTED_VALUE"""),"Ссылка")</f>
        <v>Ссылка</v>
      </c>
      <c r="F34" s="19" t="str">
        <f ca="1">IFERROR(__xludf.DUMMYFUNCTION("""COMPUTED_VALUE"""),"Ссылка")</f>
        <v>Ссылка</v>
      </c>
      <c r="G34" s="19" t="str">
        <f ca="1">IFERROR(__xludf.DUMMYFUNCTION("""COMPUTED_VALUE"""),"Ссылка")</f>
        <v>Ссылка</v>
      </c>
      <c r="H34" s="19" t="str">
        <f ca="1">IFERROR(__xludf.DUMMYFUNCTION("""COMPUTED_VALUE"""),"Яндекс")</f>
        <v>Яндекс</v>
      </c>
      <c r="I34" s="19" t="str">
        <f ca="1">IFERROR(__xludf.DUMMYFUNCTION("""COMPUTED_VALUE"""),"Ссылка")</f>
        <v>Ссылка</v>
      </c>
      <c r="J34" s="18" t="str">
        <f ca="1">IFERROR(__xludf.DUMMYFUNCTION("""COMPUTED_VALUE"""),"GF")</f>
        <v>GF</v>
      </c>
      <c r="K34" s="18" t="str">
        <f ca="1">IFERROR(__xludf.DUMMYFUNCTION("""COMPUTED_VALUE"""),"Апартаменты")</f>
        <v>Апартаменты</v>
      </c>
      <c r="L34" s="18" t="str">
        <f ca="1">IFERROR(__xludf.DUMMYFUNCTION("""COMPUTED_VALUE"""),"31-52")</f>
        <v>31-52</v>
      </c>
      <c r="M34" s="20" t="str">
        <f ca="1">IFERROR(__xludf.DUMMYFUNCTION("""COMPUTED_VALUE"""),"4 квартал")</f>
        <v>4 квартал</v>
      </c>
      <c r="N34" s="21">
        <f ca="1">IFERROR(__xludf.DUMMYFUNCTION("""COMPUTED_VALUE"""),2027)</f>
        <v>2027</v>
      </c>
      <c r="O34" s="22" t="str">
        <f ca="1">IFERROR(__xludf.DUMMYFUNCTION("""COMPUTED_VALUE"""),"380$ премиум ремонт (без мебели и техники, санузел и кухня (с техникой)
700$ turnkey")</f>
        <v>380$ премиум ремонт (без мебели и техники, санузел и кухня (с техникой)
700$ turnkey</v>
      </c>
      <c r="P34" s="23" t="str">
        <f ca="1">IFERROR(__xludf.DUMMYFUNCTION("""COMPUTED_VALUE"""),"Выплачивается в полном размере, если сразу покупать с ремонтом")</f>
        <v>Выплачивается в полном размере, если сразу покупать с ремонтом</v>
      </c>
      <c r="Q34" s="18"/>
      <c r="R34" s="24" t="str">
        <f ca="1">IFERROR(__xludf.DUMMYFUNCTION("""COMPUTED_VALUE"""),"Батуми")</f>
        <v>Батуми</v>
      </c>
      <c r="S34" s="22" t="str">
        <f ca="1">IFERROR(__xludf.DUMMYFUNCTION("""COMPUTED_VALUE"""),"При 0%:1 990$ 
 При 20%: 1 835$")</f>
        <v>При 0%:1 990$ 
 При 20%: 1 835$</v>
      </c>
      <c r="T34" s="25">
        <f ca="1">IFERROR(__xludf.DUMMYFUNCTION("""COMPUTED_VALUE"""),42)</f>
        <v>42</v>
      </c>
      <c r="U34" s="23" t="str">
        <f ca="1">IFERROR(__xludf.DUMMYFUNCTION("""COMPUTED_VALUE"""),"пока нет, планируется к началу года")</f>
        <v>пока нет, планируется к началу года</v>
      </c>
      <c r="V34" s="18" t="str">
        <f ca="1">IFERROR(__xludf.DUMMYFUNCTION("""COMPUTED_VALUE"""),"-")</f>
        <v>-</v>
      </c>
      <c r="W34" s="18"/>
      <c r="X34" s="20" t="str">
        <f ca="1">IFERROR(__xludf.DUMMYFUNCTION("""COMPUTED_VALUE"""),"995 599 508 092 Нино, 995 568 53 00 00 Саба")</f>
        <v>995 599 508 092 Нино, 995 568 53 00 00 Саба</v>
      </c>
      <c r="Y34" s="26">
        <f ca="1">IFERROR(__xludf.DUMMYFUNCTION("""COMPUTED_VALUE"""),0.042)</f>
        <v>4.2000000000000003E-2</v>
      </c>
      <c r="Z34" s="27">
        <f ca="1">IFERROR(__xludf.DUMMYFUNCTION("""COMPUTED_VALUE"""),0.05)</f>
        <v>0.05</v>
      </c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spans="1:36" ht="135.75" thickBot="1" x14ac:dyDescent="0.3">
      <c r="A35" s="17" t="str">
        <f ca="1">IFERROR(__xludf.DUMMYFUNCTION("""COMPUTED_VALUE"""),"METROPOL")</f>
        <v>METROPOL</v>
      </c>
      <c r="B35" s="18" t="str">
        <f ca="1">IFERROR(__xludf.DUMMYFUNCTION("""COMPUTED_VALUE"""),"Oval")</f>
        <v>Oval</v>
      </c>
      <c r="C35" s="18" t="str">
        <f ca="1">IFERROR(__xludf.DUMMYFUNCTION("""COMPUTED_VALUE""")," 1 вариант: 0/40/60 в декабрь 2027
2 вариант:
* 5% — первоначальный взнос
* 20% — рассрочка до декабря 2027 года
* 75% — финальный платёж при сдаче объекта в декабрь 2027 года
")</f>
        <v xml:space="preserve"> 1 вариант: 0/40/60 в декабрь 2027
2 вариант:
* 5% — первоначальный взнос
* 20% — рассрочка до декабря 2027 года
* 75% — финальный платёж при сдаче объекта в декабрь 2027 года
</v>
      </c>
      <c r="D35" s="18" t="str">
        <f ca="1">IFERROR(__xludf.DUMMYFUNCTION("""COMPUTED_VALUE"""),"При ПВ 15% - 100% комиссии. ")</f>
        <v xml:space="preserve">При ПВ 15% - 100% комиссии. </v>
      </c>
      <c r="E35" s="19" t="str">
        <f ca="1">IFERROR(__xludf.DUMMYFUNCTION("""COMPUTED_VALUE"""),"Ссылка")</f>
        <v>Ссылка</v>
      </c>
      <c r="F35" s="19" t="str">
        <f ca="1">IFERROR(__xludf.DUMMYFUNCTION("""COMPUTED_VALUE"""),"Ссылка")</f>
        <v>Ссылка</v>
      </c>
      <c r="G35" s="19" t="str">
        <f ca="1">IFERROR(__xludf.DUMMYFUNCTION("""COMPUTED_VALUE"""),"Ссылка")</f>
        <v>Ссылка</v>
      </c>
      <c r="H35" s="19" t="str">
        <f ca="1">IFERROR(__xludf.DUMMYFUNCTION("""COMPUTED_VALUE"""),"Яндекс")</f>
        <v>Яндекс</v>
      </c>
      <c r="I35" s="19" t="str">
        <f ca="1">IFERROR(__xludf.DUMMYFUNCTION("""COMPUTED_VALUE"""),"Ссылка")</f>
        <v>Ссылка</v>
      </c>
      <c r="J35" s="18" t="str">
        <f ca="1">IFERROR(__xludf.DUMMYFUNCTION("""COMPUTED_VALUE"""),"GF")</f>
        <v>GF</v>
      </c>
      <c r="K35" s="18" t="str">
        <f ca="1">IFERROR(__xludf.DUMMYFUNCTION("""COMPUTED_VALUE"""),"Апартаменты")</f>
        <v>Апартаменты</v>
      </c>
      <c r="L35" s="18" t="str">
        <f ca="1">IFERROR(__xludf.DUMMYFUNCTION("""COMPUTED_VALUE"""),"31-73")</f>
        <v>31-73</v>
      </c>
      <c r="M35" s="20" t="str">
        <f ca="1">IFERROR(__xludf.DUMMYFUNCTION("""COMPUTED_VALUE"""),"4 квартал")</f>
        <v>4 квартал</v>
      </c>
      <c r="N35" s="21">
        <f ca="1">IFERROR(__xludf.DUMMYFUNCTION("""COMPUTED_VALUE"""),2027)</f>
        <v>2027</v>
      </c>
      <c r="O35" s="22" t="str">
        <f ca="1">IFERROR(__xludf.DUMMYFUNCTION("""COMPUTED_VALUE"""),"380$ премиум ремонт (без мебели и техники, санузел и кухня (с техникой)
700$ turnkey")</f>
        <v>380$ премиум ремонт (без мебели и техники, санузел и кухня (с техникой)
700$ turnkey</v>
      </c>
      <c r="P35" s="23" t="str">
        <f ca="1">IFERROR(__xludf.DUMMYFUNCTION("""COMPUTED_VALUE"""),"Выплачивается в полном размере, если сразу покупать с ремонтом")</f>
        <v>Выплачивается в полном размере, если сразу покупать с ремонтом</v>
      </c>
      <c r="Q35" s="18"/>
      <c r="R35" s="24" t="str">
        <f ca="1">IFERROR(__xludf.DUMMYFUNCTION("""COMPUTED_VALUE"""),"Батуми")</f>
        <v>Батуми</v>
      </c>
      <c r="S35" s="22" t="str">
        <f ca="1">IFERROR(__xludf.DUMMYFUNCTION("""COMPUTED_VALUE"""),"При 0%: 1 770$
 При 20%: 1 629$")</f>
        <v>При 0%: 1 770$
 При 20%: 1 629$</v>
      </c>
      <c r="T35" s="25">
        <f ca="1">IFERROR(__xludf.DUMMYFUNCTION("""COMPUTED_VALUE"""),34)</f>
        <v>34</v>
      </c>
      <c r="U35" s="23" t="str">
        <f ca="1">IFERROR(__xludf.DUMMYFUNCTION("""COMPUTED_VALUE"""),"пока нет, планируется к началу года")</f>
        <v>пока нет, планируется к началу года</v>
      </c>
      <c r="V35" s="18" t="str">
        <f ca="1">IFERROR(__xludf.DUMMYFUNCTION("""COMPUTED_VALUE"""),"-")</f>
        <v>-</v>
      </c>
      <c r="W35" s="18"/>
      <c r="X35" s="20" t="str">
        <f ca="1">IFERROR(__xludf.DUMMYFUNCTION("""COMPUTED_VALUE"""),"995 599 508 092 Нино, 995 568 53 00 00 Саба")</f>
        <v>995 599 508 092 Нино, 995 568 53 00 00 Саба</v>
      </c>
      <c r="Y35" s="26">
        <f ca="1">IFERROR(__xludf.DUMMYFUNCTION("""COMPUTED_VALUE"""),0.042)</f>
        <v>4.2000000000000003E-2</v>
      </c>
      <c r="Z35" s="27">
        <f ca="1">IFERROR(__xludf.DUMMYFUNCTION("""COMPUTED_VALUE"""),0.05)</f>
        <v>0.05</v>
      </c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spans="1:36" ht="120.75" thickBot="1" x14ac:dyDescent="0.3">
      <c r="A36" s="17" t="str">
        <f ca="1">IFERROR(__xludf.DUMMYFUNCTION("""COMPUTED_VALUE"""),"METROPOL")</f>
        <v>METROPOL</v>
      </c>
      <c r="B36" s="18" t="str">
        <f ca="1">IFERROR(__xludf.DUMMYFUNCTION("""COMPUTED_VALUE"""),"The Parallel")</f>
        <v>The Parallel</v>
      </c>
      <c r="C36" s="18" t="str">
        <f ca="1">IFERROR(__xludf.DUMMYFUNCTION("""COMPUTED_VALUE"""),"Вариант 1 – 20% первоначальный взнос, 40% во время строительства и 40% в конце 06/2028 
Вариант 2 – 0% первоначальный взнос, 80% рассрочка и 20% в конце 06/2028 
Вариант 3 – 10% первоначальный взнос, 60% рассрочка и 30% в конце 06/2028 
Вариант 4 – 5% пер"&amp;"воначальный взнос, 20% рассрочка и 75 % в конце 06/2028")</f>
        <v>Вариант 1 – 20% первоначальный взнос, 40% во время строительства и 40% в конце 06/2028 
Вариант 2 – 0% первоначальный взнос, 80% рассрочка и 20% в конце 06/2028 
Вариант 3 – 10% первоначальный взнос, 60% рассрочка и 30% в конце 06/2028 
Вариант 4 – 5% первоначальный взнос, 20% рассрочка и 75 % в конце 06/2028</v>
      </c>
      <c r="D36" s="18" t="str">
        <f ca="1">IFERROR(__xludf.DUMMYFUNCTION("""COMPUTED_VALUE"""),"При ПВ 20% - 100% комиссии. ")</f>
        <v xml:space="preserve">При ПВ 20% - 100% комиссии. </v>
      </c>
      <c r="E36" s="19" t="str">
        <f ca="1">IFERROR(__xludf.DUMMYFUNCTION("""COMPUTED_VALUE"""),"Ссылка")</f>
        <v>Ссылка</v>
      </c>
      <c r="F36" s="19" t="str">
        <f ca="1">IFERROR(__xludf.DUMMYFUNCTION("""COMPUTED_VALUE"""),"Ссылка")</f>
        <v>Ссылка</v>
      </c>
      <c r="G36" s="19" t="str">
        <f ca="1">IFERROR(__xludf.DUMMYFUNCTION("""COMPUTED_VALUE"""),"Ссылка")</f>
        <v>Ссылка</v>
      </c>
      <c r="H36" s="19" t="str">
        <f ca="1">IFERROR(__xludf.DUMMYFUNCTION("""COMPUTED_VALUE"""),"Яндекс ")</f>
        <v xml:space="preserve">Яндекс </v>
      </c>
      <c r="I36" s="19" t="str">
        <f ca="1">IFERROR(__xludf.DUMMYFUNCTION("""COMPUTED_VALUE"""),"Ссылка")</f>
        <v>Ссылка</v>
      </c>
      <c r="J36" s="18" t="str">
        <f ca="1">IFERROR(__xludf.DUMMYFUNCTION("""COMPUTED_VALUE"""),"BF")</f>
        <v>BF</v>
      </c>
      <c r="K36" s="18" t="str">
        <f ca="1">IFERROR(__xludf.DUMMYFUNCTION("""COMPUTED_VALUE"""),"Жилой")</f>
        <v>Жилой</v>
      </c>
      <c r="L36" s="18" t="str">
        <f ca="1">IFERROR(__xludf.DUMMYFUNCTION("""COMPUTED_VALUE"""),"32-82.7")</f>
        <v>32-82.7</v>
      </c>
      <c r="M36" s="20" t="str">
        <f ca="1">IFERROR(__xludf.DUMMYFUNCTION("""COMPUTED_VALUE"""),"4 квартал")</f>
        <v>4 квартал</v>
      </c>
      <c r="N36" s="21">
        <f ca="1">IFERROR(__xludf.DUMMYFUNCTION("""COMPUTED_VALUE"""),2027)</f>
        <v>2027</v>
      </c>
      <c r="O36" s="22" t="str">
        <f ca="1">IFERROR(__xludf.DUMMYFUNCTION("""COMPUTED_VALUE"""),"пока что неизвестно, но планируется")</f>
        <v>пока что неизвестно, но планируется</v>
      </c>
      <c r="P36" s="23" t="str">
        <f ca="1">IFERROR(__xludf.DUMMYFUNCTION("""COMPUTED_VALUE"""),"-")</f>
        <v>-</v>
      </c>
      <c r="Q36" s="18"/>
      <c r="R36" s="24" t="str">
        <f ca="1">IFERROR(__xludf.DUMMYFUNCTION("""COMPUTED_VALUE"""),"Батуми")</f>
        <v>Батуми</v>
      </c>
      <c r="S36" s="22" t="str">
        <f ca="1">IFERROR(__xludf.DUMMYFUNCTION("""COMPUTED_VALUE"""),"1 178$")</f>
        <v>1 178$</v>
      </c>
      <c r="T36" s="25">
        <f ca="1">IFERROR(__xludf.DUMMYFUNCTION("""COMPUTED_VALUE"""),34)</f>
        <v>34</v>
      </c>
      <c r="U36" s="23" t="str">
        <f ca="1">IFERROR(__xludf.DUMMYFUNCTION("""COMPUTED_VALUE"""),"пока нет, планируется к началу года")</f>
        <v>пока нет, планируется к началу года</v>
      </c>
      <c r="V36" s="18" t="str">
        <f ca="1">IFERROR(__xludf.DUMMYFUNCTION("""COMPUTED_VALUE"""),"-")</f>
        <v>-</v>
      </c>
      <c r="W36" s="18"/>
      <c r="X36" s="20" t="str">
        <f ca="1">IFERROR(__xludf.DUMMYFUNCTION("""COMPUTED_VALUE"""),"995 599 508 092 Нино, Анна РОП 568 33 00 00")</f>
        <v>995 599 508 092 Нино, Анна РОП 568 33 00 00</v>
      </c>
      <c r="Y36" s="26">
        <f ca="1">IFERROR(__xludf.DUMMYFUNCTION("""COMPUTED_VALUE"""),0.04)</f>
        <v>0.04</v>
      </c>
      <c r="Z36" s="27" t="str">
        <f ca="1">IFERROR(__xludf.DUMMYFUNCTION("""COMPUTED_VALUE"""),"4.7%")</f>
        <v>4.7%</v>
      </c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spans="1:36" ht="75.75" thickBot="1" x14ac:dyDescent="0.3">
      <c r="A37" s="17" t="str">
        <f ca="1">IFERROR(__xludf.DUMMYFUNCTION("""COMPUTED_VALUE"""),"METROPOL")</f>
        <v>METROPOL</v>
      </c>
      <c r="B37" s="18" t="str">
        <f ca="1">IFERROR(__xludf.DUMMYFUNCTION("""COMPUTED_VALUE"""),"Kavtaradze")</f>
        <v>Kavtaradze</v>
      </c>
      <c r="C37" s="18" t="str">
        <f ca="1">IFERROR(__xludf.DUMMYFUNCTION("""COMPUTED_VALUE"""),"20% - это авансовый платеж, 40% распределяются на период рассрочки (20 месяцев), а последние 40% выплачиваются по завершении проекта, т.е. в июне 2027 года.
")</f>
        <v xml:space="preserve">20% - это авансовый платеж, 40% распределяются на период рассрочки (20 месяцев), а последние 40% выплачиваются по завершении проекта, т.е. в июне 2027 года.
</v>
      </c>
      <c r="D37" s="18" t="str">
        <f ca="1">IFERROR(__xludf.DUMMYFUNCTION("""COMPUTED_VALUE"""),"При ПВ 20% - 100% комиссии. ")</f>
        <v xml:space="preserve">При ПВ 20% - 100% комиссии. </v>
      </c>
      <c r="E37" s="19" t="str">
        <f ca="1">IFERROR(__xludf.DUMMYFUNCTION("""COMPUTED_VALUE"""),"Ссылка")</f>
        <v>Ссылка</v>
      </c>
      <c r="F37" s="19" t="str">
        <f ca="1">IFERROR(__xludf.DUMMYFUNCTION("""COMPUTED_VALUE"""),"Ссылка")</f>
        <v>Ссылка</v>
      </c>
      <c r="G37" s="19" t="str">
        <f ca="1">IFERROR(__xludf.DUMMYFUNCTION("""COMPUTED_VALUE"""),"Ссылка")</f>
        <v>Ссылка</v>
      </c>
      <c r="H37" s="19" t="str">
        <f ca="1">IFERROR(__xludf.DUMMYFUNCTION("""COMPUTED_VALUE"""),"Яндекс")</f>
        <v>Яндекс</v>
      </c>
      <c r="I37" s="19" t="str">
        <f ca="1">IFERROR(__xludf.DUMMYFUNCTION("""COMPUTED_VALUE"""),"Ссылка")</f>
        <v>Ссылка</v>
      </c>
      <c r="J37" s="18" t="str">
        <f ca="1">IFERROR(__xludf.DUMMYFUNCTION("""COMPUTED_VALUE"""),"GF")</f>
        <v>GF</v>
      </c>
      <c r="K37" s="18" t="str">
        <f ca="1">IFERROR(__xludf.DUMMYFUNCTION("""COMPUTED_VALUE"""),"Жилой")</f>
        <v>Жилой</v>
      </c>
      <c r="L37" s="18" t="str">
        <f ca="1">IFERROR(__xludf.DUMMYFUNCTION("""COMPUTED_VALUE"""),"51,6–187")</f>
        <v>51,6–187</v>
      </c>
      <c r="M37" s="20" t="str">
        <f ca="1">IFERROR(__xludf.DUMMYFUNCTION("""COMPUTED_VALUE"""),"июнь")</f>
        <v>июнь</v>
      </c>
      <c r="N37" s="21">
        <f ca="1">IFERROR(__xludf.DUMMYFUNCTION("""COMPUTED_VALUE"""),2027)</f>
        <v>2027</v>
      </c>
      <c r="O37" s="22" t="str">
        <f ca="1">IFERROR(__xludf.DUMMYFUNCTION("""COMPUTED_VALUE"""),"Пока не предлагают")</f>
        <v>Пока не предлагают</v>
      </c>
      <c r="P37" s="34" t="str">
        <f ca="1">IFERROR(__xludf.DUMMYFUNCTION("""COMPUTED_VALUE"""),"Не продаётся ремонт")</f>
        <v>Не продаётся ремонт</v>
      </c>
      <c r="Q37" s="18"/>
      <c r="R37" s="24" t="str">
        <f ca="1">IFERROR(__xludf.DUMMYFUNCTION("""COMPUTED_VALUE"""),"Тбилиси")</f>
        <v>Тбилиси</v>
      </c>
      <c r="S37" s="22" t="str">
        <f ca="1">IFERROR(__xludf.DUMMYFUNCTION("""COMPUTED_VALUE"""),"1 296$")</f>
        <v>1 296$</v>
      </c>
      <c r="T37" s="25">
        <f ca="1">IFERROR(__xludf.DUMMYFUNCTION("""COMPUTED_VALUE"""),21)</f>
        <v>21</v>
      </c>
      <c r="U37" s="23" t="str">
        <f ca="1">IFERROR(__xludf.DUMMYFUNCTION("""COMPUTED_VALUE"""),"Нет")</f>
        <v>Нет</v>
      </c>
      <c r="V37" s="18" t="str">
        <f ca="1">IFERROR(__xludf.DUMMYFUNCTION("""COMPUTED_VALUE"""),"-")</f>
        <v>-</v>
      </c>
      <c r="W37" s="18"/>
      <c r="X37" s="20" t="str">
        <f ca="1">IFERROR(__xludf.DUMMYFUNCTION("""COMPUTED_VALUE"""),"995 511 290 733 Лела")</f>
        <v>995 511 290 733 Лела</v>
      </c>
      <c r="Y37" s="26">
        <f ca="1">IFERROR(__xludf.DUMMYFUNCTION("""COMPUTED_VALUE"""),0.028)</f>
        <v>2.8000000000000001E-2</v>
      </c>
      <c r="Z37" s="27">
        <f ca="1">IFERROR(__xludf.DUMMYFUNCTION("""COMPUTED_VALUE"""),0.033)</f>
        <v>3.3000000000000002E-2</v>
      </c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spans="1:36" ht="60.75" thickBot="1" x14ac:dyDescent="0.3">
      <c r="A38" s="17" t="str">
        <f ca="1">IFERROR(__xludf.DUMMYFUNCTION("""COMPUTED_VALUE"""),"METROPOL")</f>
        <v>METROPOL</v>
      </c>
      <c r="B38" s="18" t="str">
        <f ca="1">IFERROR(__xludf.DUMMYFUNCTION("""COMPUTED_VALUE"""),"Ortachala")</f>
        <v>Ortachala</v>
      </c>
      <c r="C38" s="18" t="str">
        <f ca="1">IFERROR(__xludf.DUMMYFUNCTION("""COMPUTED_VALUE"""),"20%, 40% по ноябрь 2027 года, последние 40% в декабре 2027 года
50%, 30% по ноябрь 2027 года, 20% в декабре 2027 года")</f>
        <v>20%, 40% по ноябрь 2027 года, последние 40% в декабре 2027 года
50%, 30% по ноябрь 2027 года, 20% в декабре 2027 года</v>
      </c>
      <c r="D38" s="18" t="str">
        <f ca="1">IFERROR(__xludf.DUMMYFUNCTION("""COMPUTED_VALUE"""),"При ПВ 20% - 100% комиссии. ")</f>
        <v xml:space="preserve">При ПВ 20% - 100% комиссии. </v>
      </c>
      <c r="E38" s="19" t="str">
        <f ca="1">IFERROR(__xludf.DUMMYFUNCTION("""COMPUTED_VALUE"""),"Ссылка")</f>
        <v>Ссылка</v>
      </c>
      <c r="F38" s="19" t="str">
        <f ca="1">IFERROR(__xludf.DUMMYFUNCTION("""COMPUTED_VALUE"""),"Ссылка")</f>
        <v>Ссылка</v>
      </c>
      <c r="G38" s="19" t="str">
        <f ca="1">IFERROR(__xludf.DUMMYFUNCTION("""COMPUTED_VALUE"""),"Ссылка")</f>
        <v>Ссылка</v>
      </c>
      <c r="H38" s="19" t="str">
        <f ca="1">IFERROR(__xludf.DUMMYFUNCTION("""COMPUTED_VALUE"""),"Яндекс")</f>
        <v>Яндекс</v>
      </c>
      <c r="I38" s="19" t="str">
        <f ca="1">IFERROR(__xludf.DUMMYFUNCTION("""COMPUTED_VALUE"""),"Ссылка")</f>
        <v>Ссылка</v>
      </c>
      <c r="J38" s="18" t="str">
        <f ca="1">IFERROR(__xludf.DUMMYFUNCTION("""COMPUTED_VALUE"""),"GF")</f>
        <v>GF</v>
      </c>
      <c r="K38" s="18" t="str">
        <f ca="1">IFERROR(__xludf.DUMMYFUNCTION("""COMPUTED_VALUE"""),"Жилой")</f>
        <v>Жилой</v>
      </c>
      <c r="L38" s="18" t="str">
        <f ca="1">IFERROR(__xludf.DUMMYFUNCTION("""COMPUTED_VALUE"""),"48,7–123,73")</f>
        <v>48,7–123,73</v>
      </c>
      <c r="M38" s="20" t="str">
        <f ca="1">IFERROR(__xludf.DUMMYFUNCTION("""COMPUTED_VALUE"""),"декабрь")</f>
        <v>декабрь</v>
      </c>
      <c r="N38" s="21">
        <f ca="1">IFERROR(__xludf.DUMMYFUNCTION("""COMPUTED_VALUE"""),2027)</f>
        <v>2027</v>
      </c>
      <c r="O38" s="22" t="str">
        <f ca="1">IFERROR(__xludf.DUMMYFUNCTION("""COMPUTED_VALUE"""),"Пока не предлагают")</f>
        <v>Пока не предлагают</v>
      </c>
      <c r="P38" s="34" t="str">
        <f ca="1">IFERROR(__xludf.DUMMYFUNCTION("""COMPUTED_VALUE"""),"Не продаётся ремонт")</f>
        <v>Не продаётся ремонт</v>
      </c>
      <c r="Q38" s="18"/>
      <c r="R38" s="24" t="str">
        <f ca="1">IFERROR(__xludf.DUMMYFUNCTION("""COMPUTED_VALUE"""),"Тбилиси")</f>
        <v>Тбилиси</v>
      </c>
      <c r="S38" s="22" t="str">
        <f ca="1">IFERROR(__xludf.DUMMYFUNCTION("""COMPUTED_VALUE"""),"1 350$")</f>
        <v>1 350$</v>
      </c>
      <c r="T38" s="25" t="str">
        <f ca="1">IFERROR(__xludf.DUMMYFUNCTION("""COMPUTED_VALUE"""),"24-28")</f>
        <v>24-28</v>
      </c>
      <c r="U38" s="23" t="str">
        <f ca="1">IFERROR(__xludf.DUMMYFUNCTION("""COMPUTED_VALUE"""),"Нет")</f>
        <v>Нет</v>
      </c>
      <c r="V38" s="18" t="str">
        <f ca="1">IFERROR(__xludf.DUMMYFUNCTION("""COMPUTED_VALUE"""),"-")</f>
        <v>-</v>
      </c>
      <c r="W38" s="18"/>
      <c r="X38" s="20" t="str">
        <f ca="1">IFERROR(__xludf.DUMMYFUNCTION("""COMPUTED_VALUE"""),"995 5112 907 33 Лела")</f>
        <v>995 5112 907 33 Лела</v>
      </c>
      <c r="Y38" s="26">
        <f ca="1">IFERROR(__xludf.DUMMYFUNCTION("""COMPUTED_VALUE"""),0.028)</f>
        <v>2.8000000000000001E-2</v>
      </c>
      <c r="Z38" s="27">
        <f ca="1">IFERROR(__xludf.DUMMYFUNCTION("""COMPUTED_VALUE"""),0.033)</f>
        <v>3.3000000000000002E-2</v>
      </c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spans="1:36" ht="45.75" thickBot="1" x14ac:dyDescent="0.3">
      <c r="A39" s="17" t="str">
        <f ca="1">IFERROR(__xludf.DUMMYFUNCTION("""COMPUTED_VALUE"""),"MRMU")</f>
        <v>MRMU</v>
      </c>
      <c r="B39" s="18" t="str">
        <f ca="1">IFERROR(__xludf.DUMMYFUNCTION("""COMPUTED_VALUE"""),"Mziuri Gardens")</f>
        <v>Mziuri Gardens</v>
      </c>
      <c r="C39" s="18" t="str">
        <f ca="1">IFERROR(__xludf.DUMMYFUNCTION("""COMPUTED_VALUE"""),"ПВ 50%, рассрочка до марта 2026 (индивидуально соглашается в зависимости от лота)")</f>
        <v>ПВ 50%, рассрочка до марта 2026 (индивидуально соглашается в зависимости от лота)</v>
      </c>
      <c r="D39" s="18" t="str">
        <f ca="1">IFERROR(__xludf.DUMMYFUNCTION("""COMPUTED_VALUE"""),"ПВ 50% - 100% комиссии")</f>
        <v>ПВ 50% - 100% комиссии</v>
      </c>
      <c r="E39" s="19" t="str">
        <f ca="1">IFERROR(__xludf.DUMMYFUNCTION("""COMPUTED_VALUE"""),"Ссылка")</f>
        <v>Ссылка</v>
      </c>
      <c r="F39" s="19" t="str">
        <f ca="1">IFERROR(__xludf.DUMMYFUNCTION("""COMPUTED_VALUE"""),"Ссылка")</f>
        <v>Ссылка</v>
      </c>
      <c r="G39" s="19" t="str">
        <f ca="1">IFERROR(__xludf.DUMMYFUNCTION("""COMPUTED_VALUE"""),"Ссылка")</f>
        <v>Ссылка</v>
      </c>
      <c r="H39" s="19" t="str">
        <f ca="1">IFERROR(__xludf.DUMMYFUNCTION("""COMPUTED_VALUE"""),"Яндекс")</f>
        <v>Яндекс</v>
      </c>
      <c r="I39" s="19" t="str">
        <f ca="1">IFERROR(__xludf.DUMMYFUNCTION("""COMPUTED_VALUE"""),"Ссылка")</f>
        <v>Ссылка</v>
      </c>
      <c r="J39" s="18" t="str">
        <f ca="1">IFERROR(__xludf.DUMMYFUNCTION("""COMPUTED_VALUE"""),"Turnkey")</f>
        <v>Turnkey</v>
      </c>
      <c r="K39" s="18" t="str">
        <f ca="1">IFERROR(__xludf.DUMMYFUNCTION("""COMPUTED_VALUE"""),"Апартаменты")</f>
        <v>Апартаменты</v>
      </c>
      <c r="L39" s="18" t="str">
        <f ca="1">IFERROR(__xludf.DUMMYFUNCTION("""COMPUTED_VALUE"""),"43-90")</f>
        <v>43-90</v>
      </c>
      <c r="M39" s="20" t="str">
        <f ca="1">IFERROR(__xludf.DUMMYFUNCTION("""COMPUTED_VALUE"""),"Частично сдано")</f>
        <v>Частично сдано</v>
      </c>
      <c r="N39" s="21" t="str">
        <f ca="1">IFERROR(__xludf.DUMMYFUNCTION("""COMPUTED_VALUE"""),"Частично сдано")</f>
        <v>Частично сдано</v>
      </c>
      <c r="O39" s="22" t="str">
        <f ca="1">IFERROR(__xludf.DUMMYFUNCTION("""COMPUTED_VALUE"""),"-")</f>
        <v>-</v>
      </c>
      <c r="P39" s="23" t="str">
        <f ca="1">IFERROR(__xludf.DUMMYFUNCTION("""COMPUTED_VALUE"""),"-")</f>
        <v>-</v>
      </c>
      <c r="Q39" s="18"/>
      <c r="R39" s="24" t="str">
        <f ca="1">IFERROR(__xludf.DUMMYFUNCTION("""COMPUTED_VALUE"""),"Махинджаури")</f>
        <v>Махинджаури</v>
      </c>
      <c r="S39" s="22" t="str">
        <f ca="1">IFERROR(__xludf.DUMMYFUNCTION("""COMPUTED_VALUE"""),"2 700$ (Block B)
")</f>
        <v xml:space="preserve">2 700$ (Block B)
</v>
      </c>
      <c r="T39" s="25" t="str">
        <f ca="1">IFERROR(__xludf.DUMMYFUNCTION("""COMPUTED_VALUE"""),"15, 17")</f>
        <v>15, 17</v>
      </c>
      <c r="U39" s="23" t="str">
        <f ca="1">IFERROR(__xludf.DUMMYFUNCTION("""COMPUTED_VALUE"""),"Нет")</f>
        <v>Нет</v>
      </c>
      <c r="V39" s="18" t="str">
        <f ca="1">IFERROR(__xludf.DUMMYFUNCTION("""COMPUTED_VALUE"""),"-")</f>
        <v>-</v>
      </c>
      <c r="W39" s="18"/>
      <c r="X39" s="20" t="str">
        <f ca="1">IFERROR(__xludf.DUMMYFUNCTION("""COMPUTED_VALUE"""),"995 593 765 050 Марина")</f>
        <v>995 593 765 050 Марина</v>
      </c>
      <c r="Y39" s="26">
        <f ca="1">IFERROR(__xludf.DUMMYFUNCTION("""COMPUTED_VALUE"""),0.04)</f>
        <v>0.04</v>
      </c>
      <c r="Z39" s="27">
        <f ca="1">IFERROR(__xludf.DUMMYFUNCTION("""COMPUTED_VALUE"""),0.047)</f>
        <v>4.7E-2</v>
      </c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spans="1:36" ht="30.75" thickBot="1" x14ac:dyDescent="0.3">
      <c r="A40" s="17" t="str">
        <f ca="1">IFERROR(__xludf.DUMMYFUNCTION("""COMPUTED_VALUE"""),"MRMU")</f>
        <v>MRMU</v>
      </c>
      <c r="B40" s="18" t="str">
        <f ca="1">IFERROR(__xludf.DUMMYFUNCTION("""COMPUTED_VALUE"""),"Mziuri Wellness")</f>
        <v>Mziuri Wellness</v>
      </c>
      <c r="C40" s="18" t="str">
        <f ca="1">IFERROR(__xludf.DUMMYFUNCTION("""COMPUTED_VALUE"""),"ПВ 30%, рассрочка по декабрь 2026")</f>
        <v>ПВ 30%, рассрочка по декабрь 2026</v>
      </c>
      <c r="D40" s="18" t="str">
        <f ca="1">IFERROR(__xludf.DUMMYFUNCTION("""COMPUTED_VALUE"""),"ПВ 30% - 100% комиссии")</f>
        <v>ПВ 30% - 100% комиссии</v>
      </c>
      <c r="E40" s="19" t="str">
        <f ca="1">IFERROR(__xludf.DUMMYFUNCTION("""COMPUTED_VALUE"""),"Ссылка")</f>
        <v>Ссылка</v>
      </c>
      <c r="F40" s="19" t="str">
        <f ca="1">IFERROR(__xludf.DUMMYFUNCTION("""COMPUTED_VALUE"""),"Ссылка")</f>
        <v>Ссылка</v>
      </c>
      <c r="G40" s="19" t="str">
        <f ca="1">IFERROR(__xludf.DUMMYFUNCTION("""COMPUTED_VALUE"""),"Ссылка")</f>
        <v>Ссылка</v>
      </c>
      <c r="H40" s="19" t="str">
        <f ca="1">IFERROR(__xludf.DUMMYFUNCTION("""COMPUTED_VALUE"""),"Яндекс")</f>
        <v>Яндекс</v>
      </c>
      <c r="I40" s="19" t="str">
        <f ca="1">IFERROR(__xludf.DUMMYFUNCTION("""COMPUTED_VALUE"""),"Ссылка")</f>
        <v>Ссылка</v>
      </c>
      <c r="J40" s="18" t="str">
        <f ca="1">IFERROR(__xludf.DUMMYFUNCTION("""COMPUTED_VALUE"""),"Turnkey")</f>
        <v>Turnkey</v>
      </c>
      <c r="K40" s="18" t="str">
        <f ca="1">IFERROR(__xludf.DUMMYFUNCTION("""COMPUTED_VALUE"""),"Апартаменты")</f>
        <v>Апартаменты</v>
      </c>
      <c r="L40" s="18" t="str">
        <f ca="1">IFERROR(__xludf.DUMMYFUNCTION("""COMPUTED_VALUE"""),"36-120")</f>
        <v>36-120</v>
      </c>
      <c r="M40" s="20" t="str">
        <f ca="1">IFERROR(__xludf.DUMMYFUNCTION("""COMPUTED_VALUE"""),"4 квартал")</f>
        <v>4 квартал</v>
      </c>
      <c r="N40" s="21">
        <f ca="1">IFERROR(__xludf.DUMMYFUNCTION("""COMPUTED_VALUE"""),2026)</f>
        <v>2026</v>
      </c>
      <c r="O40" s="22" t="str">
        <f ca="1">IFERROR(__xludf.DUMMYFUNCTION("""COMPUTED_VALUE"""),"-")</f>
        <v>-</v>
      </c>
      <c r="P40" s="23" t="str">
        <f ca="1">IFERROR(__xludf.DUMMYFUNCTION("""COMPUTED_VALUE"""),"-")</f>
        <v>-</v>
      </c>
      <c r="Q40" s="18"/>
      <c r="R40" s="24" t="str">
        <f ca="1">IFERROR(__xludf.DUMMYFUNCTION("""COMPUTED_VALUE"""),"Махинджаури")</f>
        <v>Махинджаури</v>
      </c>
      <c r="S40" s="22" t="str">
        <f ca="1">IFERROR(__xludf.DUMMYFUNCTION("""COMPUTED_VALUE"""),"2 500$ (Floor 4)")</f>
        <v>2 500$ (Floor 4)</v>
      </c>
      <c r="T40" s="25">
        <f ca="1">IFERROR(__xludf.DUMMYFUNCTION("""COMPUTED_VALUE"""),9)</f>
        <v>9</v>
      </c>
      <c r="U40" s="23" t="str">
        <f ca="1">IFERROR(__xludf.DUMMYFUNCTION("""COMPUTED_VALUE"""),"Нет")</f>
        <v>Нет</v>
      </c>
      <c r="V40" s="18" t="str">
        <f ca="1">IFERROR(__xludf.DUMMYFUNCTION("""COMPUTED_VALUE"""),"-")</f>
        <v>-</v>
      </c>
      <c r="W40" s="18"/>
      <c r="X40" s="20" t="str">
        <f ca="1">IFERROR(__xludf.DUMMYFUNCTION("""COMPUTED_VALUE"""),"995 593 765 050 Марина")</f>
        <v>995 593 765 050 Марина</v>
      </c>
      <c r="Y40" s="26">
        <f ca="1">IFERROR(__xludf.DUMMYFUNCTION("""COMPUTED_VALUE"""),0.04)</f>
        <v>0.04</v>
      </c>
      <c r="Z40" s="27">
        <f ca="1">IFERROR(__xludf.DUMMYFUNCTION("""COMPUTED_VALUE"""),0.047)</f>
        <v>4.7E-2</v>
      </c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spans="1:36" ht="90.75" thickBot="1" x14ac:dyDescent="0.3">
      <c r="A41" s="17" t="str">
        <f ca="1">IFERROR(__xludf.DUMMYFUNCTION("""COMPUTED_VALUE"""),"NEXT GROUP")</f>
        <v>NEXT GROUP</v>
      </c>
      <c r="B41" s="18" t="str">
        <f ca="1">IFERROR(__xludf.DUMMYFUNCTION("""COMPUTED_VALUE"""),"Magnolia")</f>
        <v>Magnolia</v>
      </c>
      <c r="C41" s="18" t="str">
        <f ca="1">IFERROR(__xludf.DUMMYFUNCTION("""COMPUTED_VALUE"""),"ПВ 20%, рассрочка до декабря 2028")</f>
        <v>ПВ 20%, рассрочка до декабря 2028</v>
      </c>
      <c r="D41" s="18" t="str">
        <f ca="1">IFERROR(__xludf.DUMMYFUNCTION("""COMPUTED_VALUE"""),"ПВ 20% - 100% комиссии")</f>
        <v>ПВ 20% - 100% комиссии</v>
      </c>
      <c r="E41" s="19" t="str">
        <f ca="1">IFERROR(__xludf.DUMMYFUNCTION("""COMPUTED_VALUE"""),"Ссылка")</f>
        <v>Ссылка</v>
      </c>
      <c r="F41" s="18" t="str">
        <f ca="1">IFERROR(__xludf.DUMMYFUNCTION("""COMPUTED_VALUE"""),"Ссылка")</f>
        <v>Ссылка</v>
      </c>
      <c r="G41" s="19" t="str">
        <f ca="1">IFERROR(__xludf.DUMMYFUNCTION("""COMPUTED_VALUE"""),"Ссылка")</f>
        <v>Ссылка</v>
      </c>
      <c r="H41" s="19" t="str">
        <f ca="1">IFERROR(__xludf.DUMMYFUNCTION("""COMPUTED_VALUE"""),"Cсылка")</f>
        <v>Cсылка</v>
      </c>
      <c r="I41" s="19" t="str">
        <f ca="1">IFERROR(__xludf.DUMMYFUNCTION("""COMPUTED_VALUE"""),"Ссылка")</f>
        <v>Ссылка</v>
      </c>
      <c r="J41" s="18" t="str">
        <f ca="1">IFERROR(__xludf.DUMMYFUNCTION("""COMPUTED_VALUE"""),"WF")</f>
        <v>WF</v>
      </c>
      <c r="K41" s="18" t="str">
        <f ca="1">IFERROR(__xludf.DUMMYFUNCTION("""COMPUTED_VALUE"""),"Жилой")</f>
        <v>Жилой</v>
      </c>
      <c r="L41" s="18" t="str">
        <f ca="1">IFERROR(__xludf.DUMMYFUNCTION("""COMPUTED_VALUE"""),"31.9–86.3 м2")</f>
        <v>31.9–86.3 м2</v>
      </c>
      <c r="M41" s="20" t="str">
        <f ca="1">IFERROR(__xludf.DUMMYFUNCTION("""COMPUTED_VALUE"""),"4 квартал")</f>
        <v>4 квартал</v>
      </c>
      <c r="N41" s="21">
        <f ca="1">IFERROR(__xludf.DUMMYFUNCTION("""COMPUTED_VALUE"""),2028)</f>
        <v>2028</v>
      </c>
      <c r="O41" s="22" t="str">
        <f ca="1">IFERROR(__xludf.DUMMYFUNCTION("""COMPUTED_VALUE"""),"500$ - с отделкой, без мебели и бытовой техники; 800$ - turnkey")</f>
        <v>500$ - с отделкой, без мебели и бытовой техники; 800$ - turnkey</v>
      </c>
      <c r="P41" s="23" t="str">
        <f ca="1">IFERROR(__xludf.DUMMYFUNCTION("""COMPUTED_VALUE"""),"Выплачивается в полном размере")</f>
        <v>Выплачивается в полном размере</v>
      </c>
      <c r="Q41" s="18"/>
      <c r="R41" s="24" t="str">
        <f ca="1">IFERROR(__xludf.DUMMYFUNCTION("""COMPUTED_VALUE"""),"Батуми")</f>
        <v>Батуми</v>
      </c>
      <c r="S41" s="22" t="str">
        <f ca="1">IFERROR(__xludf.DUMMYFUNCTION("""COMPUTED_VALUE"""),"1200$")</f>
        <v>1200$</v>
      </c>
      <c r="T41" s="25">
        <f ca="1">IFERROR(__xludf.DUMMYFUNCTION("""COMPUTED_VALUE"""),16)</f>
        <v>16</v>
      </c>
      <c r="U41" s="23" t="str">
        <f ca="1">IFERROR(__xludf.DUMMYFUNCTION("""COMPUTED_VALUE"""),"Нет")</f>
        <v>Нет</v>
      </c>
      <c r="V41" s="18" t="str">
        <f ca="1">IFERROR(__xludf.DUMMYFUNCTION("""COMPUTED_VALUE"""),"-")</f>
        <v>-</v>
      </c>
      <c r="W41" s="18"/>
      <c r="X41" s="20" t="str">
        <f ca="1">IFERROR(__xludf.DUMMYFUNCTION("""COMPUTED_VALUE"""),"Гио 995 577 29 19 00, постсейл 995 577 28 09 06")</f>
        <v>Гио 995 577 29 19 00, постсейл 995 577 28 09 06</v>
      </c>
      <c r="Y41" s="26">
        <f ca="1">IFERROR(__xludf.DUMMYFUNCTION("""COMPUTED_VALUE"""),0.04)</f>
        <v>0.04</v>
      </c>
      <c r="Z41" s="27">
        <f ca="1">IFERROR(__xludf.DUMMYFUNCTION("""COMPUTED_VALUE"""),0.047)</f>
        <v>4.7E-2</v>
      </c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spans="1:36" ht="60.75" thickBot="1" x14ac:dyDescent="0.3">
      <c r="A42" s="17" t="str">
        <f ca="1">IFERROR(__xludf.DUMMYFUNCTION("""COMPUTED_VALUE"""),"NEXT GROUP")</f>
        <v>NEXT GROUP</v>
      </c>
      <c r="B42" s="18" t="str">
        <f ca="1">IFERROR(__xludf.DUMMYFUNCTION("""COMPUTED_VALUE"""),"Collection")</f>
        <v>Collection</v>
      </c>
      <c r="C42" s="18" t="str">
        <f ca="1">IFERROR(__xludf.DUMMYFUNCTION("""COMPUTED_VALUE"""),"ПВ 20%, рассрочка до июня 2027")</f>
        <v>ПВ 20%, рассрочка до июня 2027</v>
      </c>
      <c r="D42" s="18" t="str">
        <f ca="1">IFERROR(__xludf.DUMMYFUNCTION("""COMPUTED_VALUE"""),"ПВ 20% - 100% комиссии")</f>
        <v>ПВ 20% - 100% комиссии</v>
      </c>
      <c r="E42" s="19" t="str">
        <f ca="1">IFERROR(__xludf.DUMMYFUNCTION("""COMPUTED_VALUE"""),"Ссылка")</f>
        <v>Ссылка</v>
      </c>
      <c r="F42" s="19" t="str">
        <f ca="1">IFERROR(__xludf.DUMMYFUNCTION("""COMPUTED_VALUE"""),"Ссылка")</f>
        <v>Ссылка</v>
      </c>
      <c r="G42" s="19" t="str">
        <f ca="1">IFERROR(__xludf.DUMMYFUNCTION("""COMPUTED_VALUE"""),"Ссылка")</f>
        <v>Ссылка</v>
      </c>
      <c r="H42" s="19" t="str">
        <f ca="1">IFERROR(__xludf.DUMMYFUNCTION("""COMPUTED_VALUE"""),"Яндекс")</f>
        <v>Яндекс</v>
      </c>
      <c r="I42" s="19" t="str">
        <f ca="1">IFERROR(__xludf.DUMMYFUNCTION("""COMPUTED_VALUE"""),"Ссылка")</f>
        <v>Ссылка</v>
      </c>
      <c r="J42" s="18" t="str">
        <f ca="1">IFERROR(__xludf.DUMMYFUNCTION("""COMPUTED_VALUE"""),"WF")</f>
        <v>WF</v>
      </c>
      <c r="K42" s="18" t="str">
        <f ca="1">IFERROR(__xludf.DUMMYFUNCTION("""COMPUTED_VALUE"""),"Апартаменты")</f>
        <v>Апартаменты</v>
      </c>
      <c r="L42" s="18" t="str">
        <f ca="1">IFERROR(__xludf.DUMMYFUNCTION("""COMPUTED_VALUE"""),"25-249")</f>
        <v>25-249</v>
      </c>
      <c r="M42" s="20" t="str">
        <f ca="1">IFERROR(__xludf.DUMMYFUNCTION("""COMPUTED_VALUE"""),"2 кавртал")</f>
        <v>2 кавртал</v>
      </c>
      <c r="N42" s="21">
        <f ca="1">IFERROR(__xludf.DUMMYFUNCTION("""COMPUTED_VALUE"""),2026)</f>
        <v>2026</v>
      </c>
      <c r="O42" s="22" t="str">
        <f ca="1">IFERROR(__xludf.DUMMYFUNCTION("""COMPUTED_VALUE"""),"-")</f>
        <v>-</v>
      </c>
      <c r="P42" s="23" t="str">
        <f ca="1">IFERROR(__xludf.DUMMYFUNCTION("""COMPUTED_VALUE"""),"За ремонт комиссия не выплачивается")</f>
        <v>За ремонт комиссия не выплачивается</v>
      </c>
      <c r="Q42" s="29" t="str">
        <f ca="1">IFERROR(__xludf.DUMMYFUNCTION("""COMPUTED_VALUE"""),"?")</f>
        <v>?</v>
      </c>
      <c r="R42" s="24" t="str">
        <f ca="1">IFERROR(__xludf.DUMMYFUNCTION("""COMPUTED_VALUE"""),"Махинджаури")</f>
        <v>Махинджаури</v>
      </c>
      <c r="S42" s="22" t="str">
        <f ca="1">IFERROR(__xludf.DUMMYFUNCTION("""COMPUTED_VALUE"""),"1 765$")</f>
        <v>1 765$</v>
      </c>
      <c r="T42" s="25">
        <f ca="1">IFERROR(__xludf.DUMMYFUNCTION("""COMPUTED_VALUE"""),15)</f>
        <v>15</v>
      </c>
      <c r="U42" s="34" t="str">
        <f ca="1">IFERROR(__xludf.DUMMYFUNCTION("""COMPUTED_VALUE"""),"Нет")</f>
        <v>Нет</v>
      </c>
      <c r="V42" s="35" t="str">
        <f ca="1">IFERROR(__xludf.DUMMYFUNCTION("""COMPUTED_VALUE"""),"-")</f>
        <v>-</v>
      </c>
      <c r="W42" s="18"/>
      <c r="X42" s="20" t="str">
        <f ca="1">IFERROR(__xludf.DUMMYFUNCTION("""COMPUTED_VALUE"""),"Гио 995 577 29 19 00, постсейл 995 577 28 09 06")</f>
        <v>Гио 995 577 29 19 00, постсейл 995 577 28 09 06</v>
      </c>
      <c r="Y42" s="26">
        <f ca="1">IFERROR(__xludf.DUMMYFUNCTION("""COMPUTED_VALUE"""),0.04)</f>
        <v>0.04</v>
      </c>
      <c r="Z42" s="27">
        <f ca="1">IFERROR(__xludf.DUMMYFUNCTION("""COMPUTED_VALUE"""),0.047)</f>
        <v>4.7E-2</v>
      </c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spans="1:36" ht="45.75" thickBot="1" x14ac:dyDescent="0.3">
      <c r="A43" s="17" t="str">
        <f ca="1">IFERROR(__xludf.DUMMYFUNCTION("""COMPUTED_VALUE"""),"NEXT GROUP")</f>
        <v>NEXT GROUP</v>
      </c>
      <c r="B43" s="18" t="str">
        <f ca="1">IFERROR(__xludf.DUMMYFUNCTION("""COMPUTED_VALUE"""),"Radisson Blu")</f>
        <v>Radisson Blu</v>
      </c>
      <c r="C43" s="18" t="str">
        <f ca="1">IFERROR(__xludf.DUMMYFUNCTION("""COMPUTED_VALUE"""),"ПВ 20%, рассрочка до мая 2027")</f>
        <v>ПВ 20%, рассрочка до мая 2027</v>
      </c>
      <c r="D43" s="18" t="str">
        <f ca="1">IFERROR(__xludf.DUMMYFUNCTION("""COMPUTED_VALUE"""),"ПВ 20% - 100% комиссии")</f>
        <v>ПВ 20% - 100% комиссии</v>
      </c>
      <c r="E43" s="19" t="str">
        <f ca="1">IFERROR(__xludf.DUMMYFUNCTION("""COMPUTED_VALUE"""),"Ссылка")</f>
        <v>Ссылка</v>
      </c>
      <c r="F43" s="19" t="str">
        <f ca="1">IFERROR(__xludf.DUMMYFUNCTION("""COMPUTED_VALUE"""),"Ссылка")</f>
        <v>Ссылка</v>
      </c>
      <c r="G43" s="19" t="str">
        <f ca="1">IFERROR(__xludf.DUMMYFUNCTION("""COMPUTED_VALUE"""),"Ссылка")</f>
        <v>Ссылка</v>
      </c>
      <c r="H43" s="19" t="str">
        <f ca="1">IFERROR(__xludf.DUMMYFUNCTION("""COMPUTED_VALUE"""),"Яндекс")</f>
        <v>Яндекс</v>
      </c>
      <c r="I43" s="19" t="str">
        <f ca="1">IFERROR(__xludf.DUMMYFUNCTION("""COMPUTED_VALUE"""),"Ссылка")</f>
        <v>Ссылка</v>
      </c>
      <c r="J43" s="18" t="str">
        <f ca="1">IFERROR(__xludf.DUMMYFUNCTION("""COMPUTED_VALUE"""),"Turnkey")</f>
        <v>Turnkey</v>
      </c>
      <c r="K43" s="18" t="str">
        <f ca="1">IFERROR(__xludf.DUMMYFUNCTION("""COMPUTED_VALUE"""),"Апартаменты")</f>
        <v>Апартаменты</v>
      </c>
      <c r="L43" s="18" t="str">
        <f ca="1">IFERROR(__xludf.DUMMYFUNCTION("""COMPUTED_VALUE"""),"32-88")</f>
        <v>32-88</v>
      </c>
      <c r="M43" s="20" t="str">
        <f ca="1">IFERROR(__xludf.DUMMYFUNCTION("""COMPUTED_VALUE"""),"2 квартал")</f>
        <v>2 квартал</v>
      </c>
      <c r="N43" s="21">
        <f ca="1">IFERROR(__xludf.DUMMYFUNCTION("""COMPUTED_VALUE"""),2027)</f>
        <v>2027</v>
      </c>
      <c r="O43" s="22" t="str">
        <f ca="1">IFERROR(__xludf.DUMMYFUNCTION("""COMPUTED_VALUE"""),"-")</f>
        <v>-</v>
      </c>
      <c r="P43" s="23" t="str">
        <f ca="1">IFERROR(__xludf.DUMMYFUNCTION("""COMPUTED_VALUE"""),"Выплачивается в полном размере")</f>
        <v>Выплачивается в полном размере</v>
      </c>
      <c r="Q43" s="29" t="str">
        <f ca="1">IFERROR(__xludf.DUMMYFUNCTION("""COMPUTED_VALUE"""),"-")</f>
        <v>-</v>
      </c>
      <c r="R43" s="24" t="str">
        <f ca="1">IFERROR(__xludf.DUMMYFUNCTION("""COMPUTED_VALUE"""),"Гонио")</f>
        <v>Гонио</v>
      </c>
      <c r="S43" s="22" t="str">
        <f ca="1">IFERROR(__xludf.DUMMYFUNCTION("""COMPUTED_VALUE"""),"3 002$ ")</f>
        <v xml:space="preserve">3 002$ </v>
      </c>
      <c r="T43" s="25">
        <f ca="1">IFERROR(__xludf.DUMMYFUNCTION("""COMPUTED_VALUE"""),26)</f>
        <v>26</v>
      </c>
      <c r="U43" s="34" t="str">
        <f ca="1">IFERROR(__xludf.DUMMYFUNCTION("""COMPUTED_VALUE"""),"Нет")</f>
        <v>Нет</v>
      </c>
      <c r="V43" s="35" t="str">
        <f ca="1">IFERROR(__xludf.DUMMYFUNCTION("""COMPUTED_VALUE"""),"-")</f>
        <v>-</v>
      </c>
      <c r="W43" s="18"/>
      <c r="X43" s="20" t="str">
        <f ca="1">IFERROR(__xludf.DUMMYFUNCTION("""COMPUTED_VALUE"""),"Гио 995 577 29 19 00, постсейл 995 577 28 09 06")</f>
        <v>Гио 995 577 29 19 00, постсейл 995 577 28 09 06</v>
      </c>
      <c r="Y43" s="26">
        <f ca="1">IFERROR(__xludf.DUMMYFUNCTION("""COMPUTED_VALUE"""),0.04)</f>
        <v>0.04</v>
      </c>
      <c r="Z43" s="27">
        <f ca="1">IFERROR(__xludf.DUMMYFUNCTION("""COMPUTED_VALUE"""),0.047)</f>
        <v>4.7E-2</v>
      </c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spans="1:36" ht="60.75" thickBot="1" x14ac:dyDescent="0.3">
      <c r="A44" s="17" t="str">
        <f ca="1">IFERROR(__xludf.DUMMYFUNCTION("""COMPUTED_VALUE"""),"OKTO GROUP")</f>
        <v>OKTO GROUP</v>
      </c>
      <c r="B44" s="18" t="str">
        <f ca="1">IFERROR(__xludf.DUMMYFUNCTION("""COMPUTED_VALUE"""),"Okto Art House ")</f>
        <v xml:space="preserve">Okto Art House </v>
      </c>
      <c r="C44" s="18" t="str">
        <f ca="1">IFERROR(__xludf.DUMMYFUNCTION("""COMPUTED_VALUE"""),"ПВ 20%, рассрочка блок А 30 месяцев, блок Б 24 месяца")</f>
        <v>ПВ 20%, рассрочка блок А 30 месяцев, блок Б 24 месяца</v>
      </c>
      <c r="D44" s="18" t="str">
        <f ca="1">IFERROR(__xludf.DUMMYFUNCTION("""COMPUTED_VALUE"""),"ПВ 20% - 100% комиссии")</f>
        <v>ПВ 20% - 100% комиссии</v>
      </c>
      <c r="E44" s="18" t="str">
        <f ca="1">IFERROR(__xludf.DUMMYFUNCTION("""COMPUTED_VALUE"""),"-")</f>
        <v>-</v>
      </c>
      <c r="F44" s="19" t="str">
        <f ca="1">IFERROR(__xludf.DUMMYFUNCTION("""COMPUTED_VALUE"""),"Ссылка")</f>
        <v>Ссылка</v>
      </c>
      <c r="G44" s="19" t="str">
        <f ca="1">IFERROR(__xludf.DUMMYFUNCTION("""COMPUTED_VALUE"""),"Ссылка")</f>
        <v>Ссылка</v>
      </c>
      <c r="H44" s="19" t="str">
        <f ca="1">IFERROR(__xludf.DUMMYFUNCTION("""COMPUTED_VALUE"""),"Яндекс")</f>
        <v>Яндекс</v>
      </c>
      <c r="I44" s="19" t="str">
        <f ca="1">IFERROR(__xludf.DUMMYFUNCTION("""COMPUTED_VALUE"""),"Ссылка")</f>
        <v>Ссылка</v>
      </c>
      <c r="J44" s="18" t="str">
        <f ca="1">IFERROR(__xludf.DUMMYFUNCTION("""COMPUTED_VALUE"""),"WF")</f>
        <v>WF</v>
      </c>
      <c r="K44" s="18" t="str">
        <f ca="1">IFERROR(__xludf.DUMMYFUNCTION("""COMPUTED_VALUE"""),"Апартаменты")</f>
        <v>Апартаменты</v>
      </c>
      <c r="L44" s="18" t="str">
        <f ca="1">IFERROR(__xludf.DUMMYFUNCTION("""COMPUTED_VALUE"""),"31-58")</f>
        <v>31-58</v>
      </c>
      <c r="M44" s="20" t="str">
        <f ca="1">IFERROR(__xludf.DUMMYFUNCTION("""COMPUTED_VALUE"""),"Блок A май
Блок B июль")</f>
        <v>Блок A май
Блок B июль</v>
      </c>
      <c r="N44" s="21" t="str">
        <f ca="1">IFERROR(__xludf.DUMMYFUNCTION("""COMPUTED_VALUE"""),"Блок A 2028
Блок B 2027")</f>
        <v>Блок A 2028
Блок B 2027</v>
      </c>
      <c r="O44" s="22" t="str">
        <f ca="1">IFERROR(__xludf.DUMMYFUNCTION("""COMPUTED_VALUE"""),"Не продаётся ремонт")</f>
        <v>Не продаётся ремонт</v>
      </c>
      <c r="P44" s="23" t="str">
        <f ca="1">IFERROR(__xludf.DUMMYFUNCTION("""COMPUTED_VALUE"""),"За ремонт комиссия не выплачивается")</f>
        <v>За ремонт комиссия не выплачивается</v>
      </c>
      <c r="Q44" s="18"/>
      <c r="R44" s="24" t="str">
        <f ca="1">IFERROR(__xludf.DUMMYFUNCTION("""COMPUTED_VALUE"""),"Батуми")</f>
        <v>Батуми</v>
      </c>
      <c r="S44" s="22" t="str">
        <f ca="1">IFERROR(__xludf.DUMMYFUNCTION("""COMPUTED_VALUE"""),"1490$")</f>
        <v>1490$</v>
      </c>
      <c r="T44" s="25">
        <f ca="1">IFERROR(__xludf.DUMMYFUNCTION("""COMPUTED_VALUE"""),35)</f>
        <v>35</v>
      </c>
      <c r="U44" s="23" t="str">
        <f ca="1">IFERROR(__xludf.DUMMYFUNCTION("""COMPUTED_VALUE"""),"Нет")</f>
        <v>Нет</v>
      </c>
      <c r="V44" s="18" t="str">
        <f ca="1">IFERROR(__xludf.DUMMYFUNCTION("""COMPUTED_VALUE"""),"-")</f>
        <v>-</v>
      </c>
      <c r="W44" s="18"/>
      <c r="X44" s="20" t="str">
        <f ca="1">IFERROR(__xludf.DUMMYFUNCTION("""COMPUTED_VALUE"""),"995592024008 Кристина")</f>
        <v>995592024008 Кристина</v>
      </c>
      <c r="Y44" s="26">
        <f ca="1">IFERROR(__xludf.DUMMYFUNCTION("""COMPUTED_VALUE"""),0.04)</f>
        <v>0.04</v>
      </c>
      <c r="Z44" s="27">
        <f ca="1">IFERROR(__xludf.DUMMYFUNCTION("""COMPUTED_VALUE"""),0.047)</f>
        <v>4.7E-2</v>
      </c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spans="1:36" ht="105.75" thickBot="1" x14ac:dyDescent="0.3">
      <c r="A45" s="17" t="str">
        <f ca="1">IFERROR(__xludf.DUMMYFUNCTION("""COMPUTED_VALUE"""),"ONE DEVELOPMENT")</f>
        <v>ONE DEVELOPMENT</v>
      </c>
      <c r="B45" s="18" t="str">
        <f ca="1">IFERROR(__xludf.DUMMYFUNCTION("""COMPUTED_VALUE"""),"ONE Towers")</f>
        <v>ONE Towers</v>
      </c>
      <c r="C45" s="18" t="str">
        <f ca="1">IFERROR(__xludf.DUMMYFUNCTION("""COMPUTED_VALUE"""),"  ПВ 15%,  рассрочка 36 месяцев для студий, 48 месяцев для 1-, 2- и 3-комнатных квартир. ")</f>
        <v xml:space="preserve">  ПВ 15%,  рассрочка 36 месяцев для студий, 48 месяцев для 1-, 2- и 3-комнатных квартир. </v>
      </c>
      <c r="D45" s="18" t="str">
        <f ca="1">IFERROR(__xludf.DUMMYFUNCTION("""COMPUTED_VALUE"""),"При 15% - 50%, ПВ 30% - 100% комиссии ( есть индивидуальные условия)")</f>
        <v>При 15% - 50%, ПВ 30% - 100% комиссии ( есть индивидуальные условия)</v>
      </c>
      <c r="E45" s="19" t="str">
        <f ca="1">IFERROR(__xludf.DUMMYFUNCTION("""COMPUTED_VALUE"""),"Ссылка")</f>
        <v>Ссылка</v>
      </c>
      <c r="F45" s="19" t="str">
        <f ca="1">IFERROR(__xludf.DUMMYFUNCTION("""COMPUTED_VALUE"""),"Ссылка")</f>
        <v>Ссылка</v>
      </c>
      <c r="G45" s="19" t="str">
        <f ca="1">IFERROR(__xludf.DUMMYFUNCTION("""COMPUTED_VALUE"""),"Ссылка")</f>
        <v>Ссылка</v>
      </c>
      <c r="H45" s="19" t="str">
        <f ca="1">IFERROR(__xludf.DUMMYFUNCTION("""COMPUTED_VALUE"""),"Яндекс")</f>
        <v>Яндекс</v>
      </c>
      <c r="I45" s="19" t="str">
        <f ca="1">IFERROR(__xludf.DUMMYFUNCTION("""COMPUTED_VALUE"""),"Ссылка")</f>
        <v>Ссылка</v>
      </c>
      <c r="J45" s="18" t="str">
        <f ca="1">IFERROR(__xludf.DUMMYFUNCTION("""COMPUTED_VALUE"""),"BF")</f>
        <v>BF</v>
      </c>
      <c r="K45" s="18" t="str">
        <f ca="1">IFERROR(__xludf.DUMMYFUNCTION("""COMPUTED_VALUE"""),"Жилой")</f>
        <v>Жилой</v>
      </c>
      <c r="L45" s="18" t="str">
        <f ca="1">IFERROR(__xludf.DUMMYFUNCTION("""COMPUTED_VALUE"""),"27-121")</f>
        <v>27-121</v>
      </c>
      <c r="M45" s="20" t="str">
        <f ca="1">IFERROR(__xludf.DUMMYFUNCTION("""COMPUTED_VALUE"""),"4 квартал")</f>
        <v>4 квартал</v>
      </c>
      <c r="N45" s="21">
        <f ca="1">IFERROR(__xludf.DUMMYFUNCTION("""COMPUTED_VALUE"""),2027)</f>
        <v>2027</v>
      </c>
      <c r="O45" s="22" t="str">
        <f ca="1">IFERROR(__xludf.DUMMYFUNCTION("""COMPUTED_VALUE"""),"600$ GF (без мебели и техники)
750$ turnkey")</f>
        <v>600$ GF (без мебели и техники)
750$ turnkey</v>
      </c>
      <c r="P45" s="23" t="str">
        <f ca="1">IFERROR(__xludf.DUMMYFUNCTION("""COMPUTED_VALUE"""),"Выплачивается в полном размере")</f>
        <v>Выплачивается в полном размере</v>
      </c>
      <c r="Q45" s="18"/>
      <c r="R45" s="24" t="str">
        <f ca="1">IFERROR(__xludf.DUMMYFUNCTION("""COMPUTED_VALUE"""),"Батуми")</f>
        <v>Батуми</v>
      </c>
      <c r="S45" s="22" t="str">
        <f ca="1">IFERROR(__xludf.DUMMYFUNCTION("""COMPUTED_VALUE"""),"1762$")</f>
        <v>1762$</v>
      </c>
      <c r="T45" s="25">
        <f ca="1">IFERROR(__xludf.DUMMYFUNCTION("""COMPUTED_VALUE"""),37)</f>
        <v>37</v>
      </c>
      <c r="U45" s="23" t="str">
        <f ca="1">IFERROR(__xludf.DUMMYFUNCTION("""COMPUTED_VALUE"""),"Нет")</f>
        <v>Нет</v>
      </c>
      <c r="V45" s="19" t="str">
        <f ca="1">IFERROR(__xludf.DUMMYFUNCTION("""COMPUTED_VALUE"""),"Ссылка")</f>
        <v>Ссылка</v>
      </c>
      <c r="W45" s="18"/>
      <c r="X45" s="20" t="str">
        <f ca="1">IFERROR(__xludf.DUMMYFUNCTION("""COMPUTED_VALUE"""),"995 555 28 51 95 Эмма, 995 568 755 358 Анна ")</f>
        <v xml:space="preserve">995 555 28 51 95 Эмма, 995 568 755 358 Анна </v>
      </c>
      <c r="Y45" s="26">
        <f ca="1">IFERROR(__xludf.DUMMYFUNCTION("""COMPUTED_VALUE"""),0.0690508474576271)</f>
        <v>6.9050847457627101E-2</v>
      </c>
      <c r="Z45" s="27">
        <f ca="1">IFERROR(__xludf.DUMMYFUNCTION("""COMPUTED_VALUE"""),0.081)</f>
        <v>8.1000000000000003E-2</v>
      </c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spans="1:36" ht="105.75" thickBot="1" x14ac:dyDescent="0.3">
      <c r="A46" s="17" t="str">
        <f ca="1">IFERROR(__xludf.DUMMYFUNCTION("""COMPUTED_VALUE"""),"ONE DEVELOPMENT")</f>
        <v>ONE DEVELOPMENT</v>
      </c>
      <c r="B46" s="18" t="str">
        <f ca="1">IFERROR(__xludf.DUMMYFUNCTION("""COMPUTED_VALUE"""),"Stay&amp;Rent")</f>
        <v>Stay&amp;Rent</v>
      </c>
      <c r="C46" s="18" t="str">
        <f ca="1">IFERROR(__xludf.DUMMYFUNCTION("""COMPUTED_VALUE"""),"  ПВ 15%, рассрочка 36 месяцев для студий, 48 месяцев для 1-, 2- и 3-комнатных квартир. ")</f>
        <v xml:space="preserve">  ПВ 15%, рассрочка 36 месяцев для студий, 48 месяцев для 1-, 2- и 3-комнатных квартир. </v>
      </c>
      <c r="D46" s="18" t="str">
        <f ca="1">IFERROR(__xludf.DUMMYFUNCTION("""COMPUTED_VALUE"""),"При 15% - 50%, ПВ 30% - 100% комиссии ( есть индивидуальные условия)")</f>
        <v>При 15% - 50%, ПВ 30% - 100% комиссии ( есть индивидуальные условия)</v>
      </c>
      <c r="E46" s="19" t="str">
        <f ca="1">IFERROR(__xludf.DUMMYFUNCTION("""COMPUTED_VALUE"""),"Ссылка")</f>
        <v>Ссылка</v>
      </c>
      <c r="F46" s="19" t="str">
        <f ca="1">IFERROR(__xludf.DUMMYFUNCTION("""COMPUTED_VALUE"""),"Ссылка")</f>
        <v>Ссылка</v>
      </c>
      <c r="G46" s="19" t="str">
        <f ca="1">IFERROR(__xludf.DUMMYFUNCTION("""COMPUTED_VALUE"""),"Ссылка")</f>
        <v>Ссылка</v>
      </c>
      <c r="H46" s="19" t="str">
        <f ca="1">IFERROR(__xludf.DUMMYFUNCTION("""COMPUTED_VALUE"""),"Яндекс")</f>
        <v>Яндекс</v>
      </c>
      <c r="I46" s="19" t="str">
        <f ca="1">IFERROR(__xludf.DUMMYFUNCTION("""COMPUTED_VALUE"""),"Ссылка")</f>
        <v>Ссылка</v>
      </c>
      <c r="J46" s="18" t="str">
        <f ca="1">IFERROR(__xludf.DUMMYFUNCTION("""COMPUTED_VALUE"""),"BF")</f>
        <v>BF</v>
      </c>
      <c r="K46" s="18" t="str">
        <f ca="1">IFERROR(__xludf.DUMMYFUNCTION("""COMPUTED_VALUE"""),"Жилой")</f>
        <v>Жилой</v>
      </c>
      <c r="L46" s="18" t="str">
        <f ca="1">IFERROR(__xludf.DUMMYFUNCTION("""COMPUTED_VALUE"""),"39.5–79.2")</f>
        <v>39.5–79.2</v>
      </c>
      <c r="M46" s="20" t="str">
        <f ca="1">IFERROR(__xludf.DUMMYFUNCTION("""COMPUTED_VALUE"""),"2 квартал")</f>
        <v>2 квартал</v>
      </c>
      <c r="N46" s="21">
        <f ca="1">IFERROR(__xludf.DUMMYFUNCTION("""COMPUTED_VALUE"""),2027)</f>
        <v>2027</v>
      </c>
      <c r="O46" s="22" t="str">
        <f ca="1">IFERROR(__xludf.DUMMYFUNCTION("""COMPUTED_VALUE"""),"600$ GF (без мебели и техники)
750$ turnkey")</f>
        <v>600$ GF (без мебели и техники)
750$ turnkey</v>
      </c>
      <c r="P46" s="23" t="str">
        <f ca="1">IFERROR(__xludf.DUMMYFUNCTION("""COMPUTED_VALUE"""),"Выплачивается в полном размере")</f>
        <v>Выплачивается в полном размере</v>
      </c>
      <c r="Q46" s="18"/>
      <c r="R46" s="24" t="str">
        <f ca="1">IFERROR(__xludf.DUMMYFUNCTION("""COMPUTED_VALUE"""),"Батуми")</f>
        <v>Батуми</v>
      </c>
      <c r="S46" s="22" t="str">
        <f ca="1">IFERROR(__xludf.DUMMYFUNCTION("""COMPUTED_VALUE"""),"1596$")</f>
        <v>1596$</v>
      </c>
      <c r="T46" s="25">
        <f ca="1">IFERROR(__xludf.DUMMYFUNCTION("""COMPUTED_VALUE"""),22)</f>
        <v>22</v>
      </c>
      <c r="U46" s="23" t="str">
        <f ca="1">IFERROR(__xludf.DUMMYFUNCTION("""COMPUTED_VALUE"""),"Нет")</f>
        <v>Нет</v>
      </c>
      <c r="V46" s="19" t="str">
        <f ca="1">IFERROR(__xludf.DUMMYFUNCTION("""COMPUTED_VALUE"""),"Ссылка")</f>
        <v>Ссылка</v>
      </c>
      <c r="W46" s="18"/>
      <c r="X46" s="20" t="str">
        <f ca="1">IFERROR(__xludf.DUMMYFUNCTION("""COMPUTED_VALUE"""),"995 555 28 51 95 Эмма, 995 568 755 358 Анна ")</f>
        <v xml:space="preserve">995 555 28 51 95 Эмма, 995 568 755 358 Анна </v>
      </c>
      <c r="Y46" s="26">
        <f ca="1">IFERROR(__xludf.DUMMYFUNCTION("""COMPUTED_VALUE"""),0.0690508474576271)</f>
        <v>6.9050847457627101E-2</v>
      </c>
      <c r="Z46" s="27">
        <f ca="1">IFERROR(__xludf.DUMMYFUNCTION("""COMPUTED_VALUE"""),0.081)</f>
        <v>8.1000000000000003E-2</v>
      </c>
      <c r="AA46" s="28"/>
      <c r="AB46" s="28"/>
      <c r="AC46" s="28"/>
      <c r="AD46" s="28"/>
      <c r="AE46" s="28"/>
      <c r="AF46" s="28"/>
      <c r="AG46" s="28"/>
      <c r="AH46" s="28"/>
      <c r="AI46" s="28"/>
      <c r="AJ46" s="28"/>
    </row>
    <row r="47" spans="1:36" ht="60.75" thickBot="1" x14ac:dyDescent="0.3">
      <c r="A47" s="17" t="str">
        <f ca="1">IFERROR(__xludf.DUMMYFUNCTION("""COMPUTED_VALUE"""),"ONE DEVELOPMENT")</f>
        <v>ONE DEVELOPMENT</v>
      </c>
      <c r="B47" s="18" t="str">
        <f ca="1">IFERROR(__xludf.DUMMYFUNCTION("""COMPUTED_VALUE"""),"HOME")</f>
        <v>HOME</v>
      </c>
      <c r="C47" s="18" t="str">
        <f ca="1">IFERROR(__xludf.DUMMYFUNCTION("""COMPUTED_VALUE"""),"30%, рассрочка 12 месяца. Скидки в индивидуальном порядке.
")</f>
        <v xml:space="preserve">30%, рассрочка 12 месяца. Скидки в индивидуальном порядке.
</v>
      </c>
      <c r="D47" s="18" t="str">
        <f ca="1">IFERROR(__xludf.DUMMYFUNCTION("""COMPUTED_VALUE"""),"ПВ 15% - 50% комиссии, ПВ 30% - вторые 50%")</f>
        <v>ПВ 15% - 50% комиссии, ПВ 30% - вторые 50%</v>
      </c>
      <c r="E47" s="19" t="str">
        <f ca="1">IFERROR(__xludf.DUMMYFUNCTION("""COMPUTED_VALUE"""),"Ссылка")</f>
        <v>Ссылка</v>
      </c>
      <c r="F47" s="19" t="str">
        <f ca="1">IFERROR(__xludf.DUMMYFUNCTION("""COMPUTED_VALUE"""),"Ссылка")</f>
        <v>Ссылка</v>
      </c>
      <c r="G47" s="19" t="str">
        <f ca="1">IFERROR(__xludf.DUMMYFUNCTION("""COMPUTED_VALUE"""),"Ссылка")</f>
        <v>Ссылка</v>
      </c>
      <c r="H47" s="19" t="str">
        <f ca="1">IFERROR(__xludf.DUMMYFUNCTION("""COMPUTED_VALUE"""),"Яндекс")</f>
        <v>Яндекс</v>
      </c>
      <c r="I47" s="19" t="str">
        <f ca="1">IFERROR(__xludf.DUMMYFUNCTION("""COMPUTED_VALUE"""),"Ссылка")</f>
        <v>Ссылка</v>
      </c>
      <c r="J47" s="18" t="str">
        <f ca="1">IFERROR(__xludf.DUMMYFUNCTION("""COMPUTED_VALUE"""),"WF")</f>
        <v>WF</v>
      </c>
      <c r="K47" s="18" t="str">
        <f ca="1">IFERROR(__xludf.DUMMYFUNCTION("""COMPUTED_VALUE"""),"Таунхаус")</f>
        <v>Таунхаус</v>
      </c>
      <c r="L47" s="18">
        <f ca="1">IFERROR(__xludf.DUMMYFUNCTION("""COMPUTED_VALUE"""),146)</f>
        <v>146</v>
      </c>
      <c r="M47" s="20" t="str">
        <f ca="1">IFERROR(__xludf.DUMMYFUNCTION("""COMPUTED_VALUE"""),"2 квартал")</f>
        <v>2 квартал</v>
      </c>
      <c r="N47" s="21">
        <f ca="1">IFERROR(__xludf.DUMMYFUNCTION("""COMPUTED_VALUE"""),2025)</f>
        <v>2025</v>
      </c>
      <c r="O47" s="22" t="str">
        <f ca="1">IFERROR(__xludf.DUMMYFUNCTION("""COMPUTED_VALUE"""),"600$ GF (без мебели и техники)
750$ turnkey")</f>
        <v>600$ GF (без мебели и техники)
750$ turnkey</v>
      </c>
      <c r="P47" s="23" t="str">
        <f ca="1">IFERROR(__xludf.DUMMYFUNCTION("""COMPUTED_VALUE"""),"Выплачивается в полном размере")</f>
        <v>Выплачивается в полном размере</v>
      </c>
      <c r="Q47" s="18"/>
      <c r="R47" s="24" t="str">
        <f ca="1">IFERROR(__xludf.DUMMYFUNCTION("""COMPUTED_VALUE"""),"Гонио")</f>
        <v>Гонио</v>
      </c>
      <c r="S47" s="22" t="str">
        <f ca="1">IFERROR(__xludf.DUMMYFUNCTION("""COMPUTED_VALUE"""),"1490$")</f>
        <v>1490$</v>
      </c>
      <c r="T47" s="25">
        <f ca="1">IFERROR(__xludf.DUMMYFUNCTION("""COMPUTED_VALUE"""),3)</f>
        <v>3</v>
      </c>
      <c r="U47" s="23" t="str">
        <f ca="1">IFERROR(__xludf.DUMMYFUNCTION("""COMPUTED_VALUE"""),"Самостоятельно")</f>
        <v>Самостоятельно</v>
      </c>
      <c r="V47" s="19" t="str">
        <f ca="1">IFERROR(__xludf.DUMMYFUNCTION("""COMPUTED_VALUE"""),"Ссылка")</f>
        <v>Ссылка</v>
      </c>
      <c r="W47" s="18"/>
      <c r="X47" s="20" t="str">
        <f ca="1">IFERROR(__xludf.DUMMYFUNCTION("""COMPUTED_VALUE"""),"995 555 28 51 95 Эмма, 995 568 755 358 Анна ")</f>
        <v xml:space="preserve">995 555 28 51 95 Эмма, 995 568 755 358 Анна </v>
      </c>
      <c r="Y47" s="26">
        <f ca="1">IFERROR(__xludf.DUMMYFUNCTION("""COMPUTED_VALUE"""),0.0690508474576271)</f>
        <v>6.9050847457627101E-2</v>
      </c>
      <c r="Z47" s="27">
        <f ca="1">IFERROR(__xludf.DUMMYFUNCTION("""COMPUTED_VALUE"""),0.081)</f>
        <v>8.1000000000000003E-2</v>
      </c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 spans="1:36" ht="75.75" thickBot="1" x14ac:dyDescent="0.3">
      <c r="A48" s="17" t="str">
        <f ca="1">IFERROR(__xludf.DUMMYFUNCTION("""COMPUTED_VALUE"""),"ONE DEVELOPMENT")</f>
        <v>ONE DEVELOPMENT</v>
      </c>
      <c r="B48" s="18" t="str">
        <f ca="1">IFERROR(__xludf.DUMMYFUNCTION("""COMPUTED_VALUE"""),"Sport City")</f>
        <v>Sport City</v>
      </c>
      <c r="C48" s="18" t="str">
        <f ca="1">IFERROR(__xludf.DUMMYFUNCTION("""COMPUTED_VALUE"""),"ПВ 30% , рассрочка 48 месяцев ")</f>
        <v xml:space="preserve">ПВ 30% , рассрочка 48 месяцев </v>
      </c>
      <c r="D48" s="18" t="str">
        <f ca="1">IFERROR(__xludf.DUMMYFUNCTION("""COMPUTED_VALUE"""),"ПВ 30% - 100% комиссии")</f>
        <v>ПВ 30% - 100% комиссии</v>
      </c>
      <c r="E48" s="18"/>
      <c r="F48" s="19" t="str">
        <f ca="1">IFERROR(__xludf.DUMMYFUNCTION("""COMPUTED_VALUE"""),"Ссылка")</f>
        <v>Ссылка</v>
      </c>
      <c r="G48" s="19" t="str">
        <f ca="1">IFERROR(__xludf.DUMMYFUNCTION("""COMPUTED_VALUE"""),"Ссылка")</f>
        <v>Ссылка</v>
      </c>
      <c r="H48" s="19" t="str">
        <f ca="1">IFERROR(__xludf.DUMMYFUNCTION("""COMPUTED_VALUE"""),"Гугл")</f>
        <v>Гугл</v>
      </c>
      <c r="I48" s="19" t="str">
        <f ca="1">IFERROR(__xludf.DUMMYFUNCTION("""COMPUTED_VALUE"""),"Ссылка")</f>
        <v>Ссылка</v>
      </c>
      <c r="J48" s="18" t="str">
        <f ca="1">IFERROR(__xludf.DUMMYFUNCTION("""COMPUTED_VALUE"""),"BF")</f>
        <v>BF</v>
      </c>
      <c r="K48" s="18" t="str">
        <f ca="1">IFERROR(__xludf.DUMMYFUNCTION("""COMPUTED_VALUE"""),"Жилой")</f>
        <v>Жилой</v>
      </c>
      <c r="L48" s="18"/>
      <c r="M48" s="20" t="str">
        <f ca="1">IFERROR(__xludf.DUMMYFUNCTION("""COMPUTED_VALUE"""),"4 квартал")</f>
        <v>4 квартал</v>
      </c>
      <c r="N48" s="21">
        <f ca="1">IFERROR(__xludf.DUMMYFUNCTION("""COMPUTED_VALUE"""),2030)</f>
        <v>2030</v>
      </c>
      <c r="O48" s="22" t="str">
        <f ca="1">IFERROR(__xludf.DUMMYFUNCTION("""COMPUTED_VALUE"""),"WF 150$, 750$ Turnkey (коэфициент на балкон 0,5 )")</f>
        <v>WF 150$, 750$ Turnkey (коэфициент на балкон 0,5 )</v>
      </c>
      <c r="P48" s="23" t="str">
        <f ca="1">IFERROR(__xludf.DUMMYFUNCTION("""COMPUTED_VALUE"""),"Выплачивается в полном размере")</f>
        <v>Выплачивается в полном размере</v>
      </c>
      <c r="Q48" s="18"/>
      <c r="R48" s="24" t="str">
        <f ca="1">IFERROR(__xludf.DUMMYFUNCTION("""COMPUTED_VALUE"""),"Батуми")</f>
        <v>Батуми</v>
      </c>
      <c r="S48" s="22">
        <f ca="1">IFERROR(__xludf.DUMMYFUNCTION("""COMPUTED_VALUE"""),1037)</f>
        <v>1037</v>
      </c>
      <c r="T48" s="25">
        <f ca="1">IFERROR(__xludf.DUMMYFUNCTION("""COMPUTED_VALUE"""),28)</f>
        <v>28</v>
      </c>
      <c r="U48" s="23" t="str">
        <f ca="1">IFERROR(__xludf.DUMMYFUNCTION("""COMPUTED_VALUE"""),"нет")</f>
        <v>нет</v>
      </c>
      <c r="V48" s="18"/>
      <c r="W48" s="18"/>
      <c r="X48" s="20" t="str">
        <f ca="1">IFERROR(__xludf.DUMMYFUNCTION("""COMPUTED_VALUE"""),"995 555 28 51 95 Эмма, 995 568 755 358 Анна ")</f>
        <v xml:space="preserve">995 555 28 51 95 Эмма, 995 568 755 358 Анна </v>
      </c>
      <c r="Y48" s="26">
        <f ca="1">IFERROR(__xludf.DUMMYFUNCTION("""COMPUTED_VALUE"""),0.0690508474576271)</f>
        <v>6.9050847457627101E-2</v>
      </c>
      <c r="Z48" s="27">
        <f ca="1">IFERROR(__xludf.DUMMYFUNCTION("""COMPUTED_VALUE"""),0.081)</f>
        <v>8.1000000000000003E-2</v>
      </c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spans="1:36" ht="75.75" thickBot="1" x14ac:dyDescent="0.3">
      <c r="A49" s="17" t="str">
        <f ca="1">IFERROR(__xludf.DUMMYFUNCTION("""COMPUTED_VALUE"""),"ONE DEVELOPMENT")</f>
        <v>ONE DEVELOPMENT</v>
      </c>
      <c r="B49" s="18" t="str">
        <f ca="1">IFERROR(__xludf.DUMMYFUNCTION("""COMPUTED_VALUE"""),"RAMADA")</f>
        <v>RAMADA</v>
      </c>
      <c r="C49" s="18" t="str">
        <f ca="1">IFERROR(__xludf.DUMMYFUNCTION("""COMPUTED_VALUE"""),"ПВ от 10%, рассрочка на 48 месяцев;  ПВ от 30%, рассрочка 48 + специальные условия 7% гарантированный доход на протяжении 3 лет (ограниченное количество резиденций). Скидки в индивидуальном порядке.")</f>
        <v>ПВ от 10%, рассрочка на 48 месяцев;  ПВ от 30%, рассрочка 48 + специальные условия 7% гарантированный доход на протяжении 3 лет (ограниченное количество резиденций). Скидки в индивидуальном порядке.</v>
      </c>
      <c r="D49" s="18" t="str">
        <f ca="1">IFERROR(__xludf.DUMMYFUNCTION("""COMPUTED_VALUE"""),"ПВ 15% - 50% комиссии, ПВ 30% - вторые 50%")</f>
        <v>ПВ 15% - 50% комиссии, ПВ 30% - вторые 50%</v>
      </c>
      <c r="E49" s="19" t="str">
        <f ca="1">IFERROR(__xludf.DUMMYFUNCTION("""COMPUTED_VALUE"""),"Ссылка")</f>
        <v>Ссылка</v>
      </c>
      <c r="F49" s="19" t="str">
        <f ca="1">IFERROR(__xludf.DUMMYFUNCTION("""COMPUTED_VALUE"""),"Ссылка")</f>
        <v>Ссылка</v>
      </c>
      <c r="G49" s="19" t="str">
        <f ca="1">IFERROR(__xludf.DUMMYFUNCTION("""COMPUTED_VALUE"""),"Ссылка")</f>
        <v>Ссылка</v>
      </c>
      <c r="H49" s="19" t="str">
        <f ca="1">IFERROR(__xludf.DUMMYFUNCTION("""COMPUTED_VALUE"""),"Яндекс")</f>
        <v>Яндекс</v>
      </c>
      <c r="I49" s="19" t="str">
        <f ca="1">IFERROR(__xludf.DUMMYFUNCTION("""COMPUTED_VALUE"""),"Cсылка")</f>
        <v>Cсылка</v>
      </c>
      <c r="J49" s="18" t="str">
        <f ca="1">IFERROR(__xludf.DUMMYFUNCTION("""COMPUTED_VALUE"""),"Turnkey")</f>
        <v>Turnkey</v>
      </c>
      <c r="K49" s="18" t="str">
        <f ca="1">IFERROR(__xludf.DUMMYFUNCTION("""COMPUTED_VALUE"""),"Брендированные резиденции")</f>
        <v>Брендированные резиденции</v>
      </c>
      <c r="L49" s="18" t="str">
        <f ca="1">IFERROR(__xludf.DUMMYFUNCTION("""COMPUTED_VALUE"""),"34–73")</f>
        <v>34–73</v>
      </c>
      <c r="M49" s="20" t="str">
        <f ca="1">IFERROR(__xludf.DUMMYFUNCTION("""COMPUTED_VALUE"""),"4 квартал")</f>
        <v>4 квартал</v>
      </c>
      <c r="N49" s="21">
        <f ca="1">IFERROR(__xludf.DUMMYFUNCTION("""COMPUTED_VALUE"""),2029)</f>
        <v>2029</v>
      </c>
      <c r="O49" s="22" t="str">
        <f ca="1">IFERROR(__xludf.DUMMYFUNCTION("""COMPUTED_VALUE"""),"-")</f>
        <v>-</v>
      </c>
      <c r="P49" s="23" t="str">
        <f ca="1">IFERROR(__xludf.DUMMYFUNCTION("""COMPUTED_VALUE"""),"-")</f>
        <v>-</v>
      </c>
      <c r="Q49" s="18"/>
      <c r="R49" s="24" t="str">
        <f ca="1">IFERROR(__xludf.DUMMYFUNCTION("""COMPUTED_VALUE"""),"Батуми")</f>
        <v>Батуми</v>
      </c>
      <c r="S49" s="22" t="str">
        <f ca="1">IFERROR(__xludf.DUMMYFUNCTION("""COMPUTED_VALUE"""),"3274$")</f>
        <v>3274$</v>
      </c>
      <c r="T49" s="25">
        <f ca="1">IFERROR(__xludf.DUMMYFUNCTION("""COMPUTED_VALUE"""),45)</f>
        <v>45</v>
      </c>
      <c r="U49" s="23" t="str">
        <f ca="1">IFERROR(__xludf.DUMMYFUNCTION("""COMPUTED_VALUE"""),"Нет")</f>
        <v>Нет</v>
      </c>
      <c r="V49" s="19" t="str">
        <f ca="1">IFERROR(__xludf.DUMMYFUNCTION("""COMPUTED_VALUE"""),"Ссылка")</f>
        <v>Ссылка</v>
      </c>
      <c r="W49" s="18"/>
      <c r="X49" s="20" t="str">
        <f ca="1">IFERROR(__xludf.DUMMYFUNCTION("""COMPUTED_VALUE"""),"995 555 28 51 95 Эмма, 995 568 755 358 Анна ")</f>
        <v xml:space="preserve">995 555 28 51 95 Эмма, 995 568 755 358 Анна </v>
      </c>
      <c r="Y49" s="26">
        <f ca="1">IFERROR(__xludf.DUMMYFUNCTION("""COMPUTED_VALUE"""),0.05)</f>
        <v>0.05</v>
      </c>
      <c r="Z49" s="27">
        <f ca="1">IFERROR(__xludf.DUMMYFUNCTION("""COMPUTED_VALUE"""),0.059)</f>
        <v>5.8999999999999997E-2</v>
      </c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spans="1:36" ht="60.75" thickBot="1" x14ac:dyDescent="0.3">
      <c r="A50" s="17" t="str">
        <f ca="1">IFERROR(__xludf.DUMMYFUNCTION("""COMPUTED_VALUE"""),"RENAISSANCE CITY")</f>
        <v>RENAISSANCE CITY</v>
      </c>
      <c r="B50" s="18" t="str">
        <f ca="1">IFERROR(__xludf.DUMMYFUNCTION("""COMPUTED_VALUE"""),"La Batumi Familia")</f>
        <v>La Batumi Familia</v>
      </c>
      <c r="C50" s="18" t="str">
        <f ca="1">IFERROR(__xludf.DUMMYFUNCTION("""COMPUTED_VALUE"""),"ПВ от 20%
Рассрочка на 16 месяцев.
Есть скидки зависимости от графика платежа.
При 100% оплате возможно скидка 300$")</f>
        <v>ПВ от 20%
Рассрочка на 16 месяцев.
Есть скидки зависимости от графика платежа.
При 100% оплате возможно скидка 300$</v>
      </c>
      <c r="D50" s="18" t="str">
        <f ca="1">IFERROR(__xludf.DUMMYFUNCTION("""COMPUTED_VALUE"""),"ПВ 30% - 100% комиссии")</f>
        <v>ПВ 30% - 100% комиссии</v>
      </c>
      <c r="E50" s="19" t="str">
        <f ca="1">IFERROR(__xludf.DUMMYFUNCTION("""COMPUTED_VALUE"""),"Ссылка")</f>
        <v>Ссылка</v>
      </c>
      <c r="F50" s="19" t="str">
        <f ca="1">IFERROR(__xludf.DUMMYFUNCTION("""COMPUTED_VALUE"""),"Ссылка")</f>
        <v>Ссылка</v>
      </c>
      <c r="G50" s="19" t="str">
        <f ca="1">IFERROR(__xludf.DUMMYFUNCTION("""COMPUTED_VALUE"""),"Ссылка")</f>
        <v>Ссылка</v>
      </c>
      <c r="H50" s="19" t="str">
        <f ca="1">IFERROR(__xludf.DUMMYFUNCTION("""COMPUTED_VALUE"""),"Яндекс")</f>
        <v>Яндекс</v>
      </c>
      <c r="I50" s="19" t="str">
        <f ca="1">IFERROR(__xludf.DUMMYFUNCTION("""COMPUTED_VALUE"""),"Ссылка")</f>
        <v>Ссылка</v>
      </c>
      <c r="J50" s="18" t="str">
        <f ca="1">IFERROR(__xludf.DUMMYFUNCTION("""COMPUTED_VALUE"""),"BF")</f>
        <v>BF</v>
      </c>
      <c r="K50" s="18" t="str">
        <f ca="1">IFERROR(__xludf.DUMMYFUNCTION("""COMPUTED_VALUE"""),"Апартаменты")</f>
        <v>Апартаменты</v>
      </c>
      <c r="L50" s="18" t="str">
        <f ca="1">IFERROR(__xludf.DUMMYFUNCTION("""COMPUTED_VALUE"""),"23-72")</f>
        <v>23-72</v>
      </c>
      <c r="M50" s="20" t="str">
        <f ca="1">IFERROR(__xludf.DUMMYFUNCTION("""COMPUTED_VALUE"""),"4 квартал")</f>
        <v>4 квартал</v>
      </c>
      <c r="N50" s="21">
        <f ca="1">IFERROR(__xludf.DUMMYFUNCTION("""COMPUTED_VALUE"""),2024)</f>
        <v>2024</v>
      </c>
      <c r="O50" s="22" t="str">
        <f ca="1">IFERROR(__xludf.DUMMYFUNCTION("""COMPUTED_VALUE"""),"100$ WF")</f>
        <v>100$ WF</v>
      </c>
      <c r="P50" s="23" t="str">
        <f ca="1">IFERROR(__xludf.DUMMYFUNCTION("""COMPUTED_VALUE"""),"Выплачивается в полном размере")</f>
        <v>Выплачивается в полном размере</v>
      </c>
      <c r="Q50" s="18"/>
      <c r="R50" s="24" t="str">
        <f ca="1">IFERROR(__xludf.DUMMYFUNCTION("""COMPUTED_VALUE"""),"Батуми")</f>
        <v>Батуми</v>
      </c>
      <c r="S50" s="36" t="str">
        <f ca="1">IFERROR(__xludf.DUMMYFUNCTION("""COMPUTED_VALUE"""),"1 300$")</f>
        <v>1 300$</v>
      </c>
      <c r="T50" s="25">
        <f ca="1">IFERROR(__xludf.DUMMYFUNCTION("""COMPUTED_VALUE"""),19)</f>
        <v>19</v>
      </c>
      <c r="U50" s="23" t="str">
        <f ca="1">IFERROR(__xludf.DUMMYFUNCTION("""COMPUTED_VALUE"""),"Да")</f>
        <v>Да</v>
      </c>
      <c r="V50" s="19" t="str">
        <f ca="1">IFERROR(__xludf.DUMMYFUNCTION("""COMPUTED_VALUE"""),"Ссылка")</f>
        <v>Ссылка</v>
      </c>
      <c r="W50" s="18"/>
      <c r="X50" s="20" t="str">
        <f ca="1">IFERROR(__xludf.DUMMYFUNCTION("""COMPUTED_VALUE"""),"995 596 602 602 отдел продаж")</f>
        <v>995 596 602 602 отдел продаж</v>
      </c>
      <c r="Y50" s="26">
        <f ca="1">IFERROR(__xludf.DUMMYFUNCTION("""COMPUTED_VALUE"""),0.0402796610169491)</f>
        <v>4.0279661016949103E-2</v>
      </c>
      <c r="Z50" s="27">
        <f ca="1">IFERROR(__xludf.DUMMYFUNCTION("""COMPUTED_VALUE"""),0.047)</f>
        <v>4.7E-2</v>
      </c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 spans="1:36" ht="45.75" thickBot="1" x14ac:dyDescent="0.3">
      <c r="A51" s="17" t="str">
        <f ca="1">IFERROR(__xludf.DUMMYFUNCTION("""COMPUTED_VALUE"""),"ROGANTINI")</f>
        <v>ROGANTINI</v>
      </c>
      <c r="B51" s="18" t="str">
        <f ca="1">IFERROR(__xludf.DUMMYFUNCTION("""COMPUTED_VALUE"""),"Swiss village")</f>
        <v>Swiss village</v>
      </c>
      <c r="C51" s="18" t="str">
        <f ca="1">IFERROR(__xludf.DUMMYFUNCTION("""COMPUTED_VALUE"""),"10%, рассрочка 16 месяцев, 20% при получении ключей")</f>
        <v>10%, рассрочка 16 месяцев, 20% при получении ключей</v>
      </c>
      <c r="D51" s="18" t="str">
        <f ca="1">IFERROR(__xludf.DUMMYFUNCTION("""COMPUTED_VALUE"""),"ПВ 30% - 100% комиссии")</f>
        <v>ПВ 30% - 100% комиссии</v>
      </c>
      <c r="E51" s="19" t="str">
        <f ca="1">IFERROR(__xludf.DUMMYFUNCTION("""COMPUTED_VALUE"""),"Ссылка")</f>
        <v>Ссылка</v>
      </c>
      <c r="F51" s="19" t="str">
        <f ca="1">IFERROR(__xludf.DUMMYFUNCTION("""COMPUTED_VALUE"""),"Ссылка")</f>
        <v>Ссылка</v>
      </c>
      <c r="G51" s="19" t="str">
        <f ca="1">IFERROR(__xludf.DUMMYFUNCTION("""COMPUTED_VALUE"""),"Ссылка")</f>
        <v>Ссылка</v>
      </c>
      <c r="H51" s="19" t="str">
        <f ca="1">IFERROR(__xludf.DUMMYFUNCTION("""COMPUTED_VALUE"""),"Яндекс")</f>
        <v>Яндекс</v>
      </c>
      <c r="I51" s="19" t="str">
        <f ca="1">IFERROR(__xludf.DUMMYFUNCTION("""COMPUTED_VALUE"""),"Ссылка")</f>
        <v>Ссылка</v>
      </c>
      <c r="J51" s="18" t="str">
        <f ca="1">IFERROR(__xludf.DUMMYFUNCTION("""COMPUTED_VALUE"""),"Turnkey")</f>
        <v>Turnkey</v>
      </c>
      <c r="K51" s="18" t="str">
        <f ca="1">IFERROR(__xludf.DUMMYFUNCTION("""COMPUTED_VALUE"""),"Апартаменты")</f>
        <v>Апартаменты</v>
      </c>
      <c r="L51" s="18" t="str">
        <f ca="1">IFERROR(__xludf.DUMMYFUNCTION("""COMPUTED_VALUE"""),"27,4-67,3")</f>
        <v>27,4-67,3</v>
      </c>
      <c r="M51" s="20" t="str">
        <f ca="1">IFERROR(__xludf.DUMMYFUNCTION("""COMPUTED_VALUE"""),"декабрь")</f>
        <v>декабрь</v>
      </c>
      <c r="N51" s="21">
        <f ca="1">IFERROR(__xludf.DUMMYFUNCTION("""COMPUTED_VALUE"""),2026)</f>
        <v>2026</v>
      </c>
      <c r="O51" s="22" t="str">
        <f ca="1">IFERROR(__xludf.DUMMYFUNCTION("""COMPUTED_VALUE""")," turnkey")</f>
        <v xml:space="preserve"> turnkey</v>
      </c>
      <c r="P51" s="23" t="str">
        <f ca="1">IFERROR(__xludf.DUMMYFUNCTION("""COMPUTED_VALUE"""),"-")</f>
        <v>-</v>
      </c>
      <c r="Q51" s="18"/>
      <c r="R51" s="24" t="str">
        <f ca="1">IFERROR(__xludf.DUMMYFUNCTION("""COMPUTED_VALUE"""),"Чакви")</f>
        <v>Чакви</v>
      </c>
      <c r="S51" s="22">
        <f ca="1">IFERROR(__xludf.DUMMYFUNCTION("""COMPUTED_VALUE"""),1980)</f>
        <v>1980</v>
      </c>
      <c r="T51" s="25">
        <f ca="1">IFERROR(__xludf.DUMMYFUNCTION("""COMPUTED_VALUE"""),11)</f>
        <v>11</v>
      </c>
      <c r="U51" s="23" t="str">
        <f ca="1">IFERROR(__xludf.DUMMYFUNCTION("""COMPUTED_VALUE"""),"Нет")</f>
        <v>Нет</v>
      </c>
      <c r="V51" s="18" t="str">
        <f ca="1">IFERROR(__xludf.DUMMYFUNCTION("""COMPUTED_VALUE"""),"-")</f>
        <v>-</v>
      </c>
      <c r="W51" s="18"/>
      <c r="X51" s="20" t="str">
        <f ca="1">IFERROR(__xludf.DUMMYFUNCTION("""COMPUTED_VALUE"""),"995 557 960 963 Марина
")</f>
        <v xml:space="preserve">995 557 960 963 Марина
</v>
      </c>
      <c r="Y51" s="26">
        <f ca="1">IFERROR(__xludf.DUMMYFUNCTION("""COMPUTED_VALUE"""),0.034)</f>
        <v>3.4000000000000002E-2</v>
      </c>
      <c r="Z51" s="27">
        <f ca="1">IFERROR(__xludf.DUMMYFUNCTION("""COMPUTED_VALUE"""),0.04)</f>
        <v>0.04</v>
      </c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 spans="1:36" ht="45.75" thickBot="1" x14ac:dyDescent="0.3">
      <c r="A52" s="17" t="str">
        <f ca="1">IFERROR(__xludf.DUMMYFUNCTION("""COMPUTED_VALUE"""),"SUNWAY SUITS")</f>
        <v>SUNWAY SUITS</v>
      </c>
      <c r="B52" s="18" t="str">
        <f ca="1">IFERROR(__xludf.DUMMYFUNCTION("""COMPUTED_VALUE"""),"Sunway Suits")</f>
        <v>Sunway Suits</v>
      </c>
      <c r="C52" s="18" t="str">
        <f ca="1">IFERROR(__xludf.DUMMYFUNCTION("""COMPUTED_VALUE"""),"30%, рассрочка на 12 месяцев ")</f>
        <v xml:space="preserve">30%, рассрочка на 12 месяцев </v>
      </c>
      <c r="D52" s="18" t="str">
        <f ca="1">IFERROR(__xludf.DUMMYFUNCTION("""COMPUTED_VALUE"""),"ПВ 30% - комиссия 100%")</f>
        <v>ПВ 30% - комиссия 100%</v>
      </c>
      <c r="E52" s="19" t="str">
        <f ca="1">IFERROR(__xludf.DUMMYFUNCTION("""COMPUTED_VALUE"""),"Ссылка")</f>
        <v>Ссылка</v>
      </c>
      <c r="F52" s="19" t="str">
        <f ca="1">IFERROR(__xludf.DUMMYFUNCTION("""COMPUTED_VALUE"""),"Ссылка")</f>
        <v>Ссылка</v>
      </c>
      <c r="G52" s="19" t="str">
        <f ca="1">IFERROR(__xludf.DUMMYFUNCTION("""COMPUTED_VALUE"""),"Ссылка")</f>
        <v>Ссылка</v>
      </c>
      <c r="H52" s="19" t="str">
        <f ca="1">IFERROR(__xludf.DUMMYFUNCTION("""COMPUTED_VALUE"""),"Яндекс")</f>
        <v>Яндекс</v>
      </c>
      <c r="I52" s="19" t="str">
        <f ca="1">IFERROR(__xludf.DUMMYFUNCTION("""COMPUTED_VALUE"""),"Ссылка")</f>
        <v>Ссылка</v>
      </c>
      <c r="J52" s="18" t="str">
        <f ca="1">IFERROR(__xludf.DUMMYFUNCTION("""COMPUTED_VALUE"""),"WF-GF-Turnkey")</f>
        <v>WF-GF-Turnkey</v>
      </c>
      <c r="K52" s="18" t="str">
        <f ca="1">IFERROR(__xludf.DUMMYFUNCTION("""COMPUTED_VALUE"""),"Апартаменты")</f>
        <v>Апартаменты</v>
      </c>
      <c r="L52" s="18" t="str">
        <f ca="1">IFERROR(__xludf.DUMMYFUNCTION("""COMPUTED_VALUE"""),"27,7–57,7")</f>
        <v>27,7–57,7</v>
      </c>
      <c r="M52" s="20" t="str">
        <f ca="1">IFERROR(__xludf.DUMMYFUNCTION("""COMPUTED_VALUE"""),"Сдано")</f>
        <v>Сдано</v>
      </c>
      <c r="N52" s="21" t="str">
        <f ca="1">IFERROR(__xludf.DUMMYFUNCTION("""COMPUTED_VALUE"""),"Сдано")</f>
        <v>Сдано</v>
      </c>
      <c r="O52" s="22" t="str">
        <f ca="1">IFERROR(__xludf.DUMMYFUNCTION("""COMPUTED_VALUE""")," turnkey")</f>
        <v xml:space="preserve"> turnkey</v>
      </c>
      <c r="P52" s="23" t="str">
        <f ca="1">IFERROR(__xludf.DUMMYFUNCTION("""COMPUTED_VALUE"""),"-")</f>
        <v>-</v>
      </c>
      <c r="Q52" s="29">
        <f ca="1">IFERROR(__xludf.DUMMYFUNCTION("""COMPUTED_VALUE"""),0.08)</f>
        <v>0.08</v>
      </c>
      <c r="R52" s="24" t="str">
        <f ca="1">IFERROR(__xludf.DUMMYFUNCTION("""COMPUTED_VALUE"""),"Батуми")</f>
        <v>Батуми</v>
      </c>
      <c r="S52" s="22" t="str">
        <f ca="1">IFERROR(__xludf.DUMMYFUNCTION("""COMPUTED_VALUE"""),"2 115$ (Floor 8)")</f>
        <v>2 115$ (Floor 8)</v>
      </c>
      <c r="T52" s="25">
        <f ca="1">IFERROR(__xludf.DUMMYFUNCTION("""COMPUTED_VALUE"""),14)</f>
        <v>14</v>
      </c>
      <c r="U52" s="23" t="str">
        <f ca="1">IFERROR(__xludf.DUMMYFUNCTION("""COMPUTED_VALUE"""),"Да")</f>
        <v>Да</v>
      </c>
      <c r="V52" s="18" t="str">
        <f ca="1">IFERROR(__xludf.DUMMYFUNCTION("""COMPUTED_VALUE"""),"-")</f>
        <v>-</v>
      </c>
      <c r="W52" s="18"/>
      <c r="X52" s="20" t="str">
        <f ca="1">IFERROR(__xludf.DUMMYFUNCTION("""COMPUTED_VALUE"""),"995 557 617 974 Константин")</f>
        <v>995 557 617 974 Константин</v>
      </c>
      <c r="Y52" s="26">
        <f ca="1">IFERROR(__xludf.DUMMYFUNCTION("""COMPUTED_VALUE"""),0.04)</f>
        <v>0.04</v>
      </c>
      <c r="Z52" s="27">
        <f ca="1">IFERROR(__xludf.DUMMYFUNCTION("""COMPUTED_VALUE"""),0.047)</f>
        <v>4.7E-2</v>
      </c>
      <c r="AA52" s="28"/>
      <c r="AB52" s="28"/>
      <c r="AC52" s="28"/>
      <c r="AD52" s="28"/>
      <c r="AE52" s="28"/>
      <c r="AF52" s="28"/>
      <c r="AG52" s="28"/>
      <c r="AH52" s="28"/>
      <c r="AI52" s="28"/>
      <c r="AJ52" s="28"/>
    </row>
    <row r="53" spans="1:36" ht="105.75" thickBot="1" x14ac:dyDescent="0.3">
      <c r="A53" s="17" t="str">
        <f ca="1">IFERROR(__xludf.DUMMYFUNCTION("""COMPUTED_VALUE"""),"SCHUCHMANN GROUP")</f>
        <v>SCHUCHMANN GROUP</v>
      </c>
      <c r="B53" s="18" t="str">
        <f ca="1">IFERROR(__xludf.DUMMYFUNCTION("""COMPUTED_VALUE"""),"Вилла Schuchmann/ Вилла Fisherman's / Таунхаус в Alazani Valley Residence")</f>
        <v>Вилла Schuchmann/ Вилла Fisherman's / Таунхаус в Alazani Valley Residence</v>
      </c>
      <c r="C53" s="18" t="str">
        <f ca="1">IFERROR(__xludf.DUMMYFUNCTION("""COMPUTED_VALUE"""),"Вилла Fishermann, ПВ 30%, рассрочка до 2028, другие проекты - 100% оплата или ипотека")</f>
        <v>Вилла Fishermann, ПВ 30%, рассрочка до 2028, другие проекты - 100% оплата или ипотека</v>
      </c>
      <c r="D53" s="18"/>
      <c r="E53" s="18"/>
      <c r="F53" s="19" t="str">
        <f ca="1">IFERROR(__xludf.DUMMYFUNCTION("""COMPUTED_VALUE"""),"Ссылка")</f>
        <v>Ссылка</v>
      </c>
      <c r="G53" s="19" t="str">
        <f ca="1">IFERROR(__xludf.DUMMYFUNCTION("""COMPUTED_VALUE"""),"Ссылка")</f>
        <v>Ссылка</v>
      </c>
      <c r="H53" s="19" t="str">
        <f ca="1">IFERROR(__xludf.DUMMYFUNCTION("""COMPUTED_VALUE"""),"Гугл")</f>
        <v>Гугл</v>
      </c>
      <c r="I53" s="19" t="str">
        <f ca="1">IFERROR(__xludf.DUMMYFUNCTION("""COMPUTED_VALUE"""),"Ссылка")</f>
        <v>Ссылка</v>
      </c>
      <c r="J53" s="18" t="str">
        <f ca="1">IFERROR(__xludf.DUMMYFUNCTION("""COMPUTED_VALUE"""),"Turnkey")</f>
        <v>Turnkey</v>
      </c>
      <c r="K53" s="18" t="str">
        <f ca="1">IFERROR(__xludf.DUMMYFUNCTION("""COMPUTED_VALUE"""),"Вилла, таунхаус")</f>
        <v>Вилла, таунхаус</v>
      </c>
      <c r="L53" s="18"/>
      <c r="M53" s="20" t="str">
        <f ca="1">IFERROR(__xludf.DUMMYFUNCTION("""COMPUTED_VALUE"""),"сентябрь ")</f>
        <v xml:space="preserve">сентябрь </v>
      </c>
      <c r="N53" s="21">
        <f ca="1">IFERROR(__xludf.DUMMYFUNCTION("""COMPUTED_VALUE"""),2027)</f>
        <v>2027</v>
      </c>
      <c r="O53" s="22" t="str">
        <f ca="1">IFERROR(__xludf.DUMMYFUNCTION("""COMPUTED_VALUE"""),"-")</f>
        <v>-</v>
      </c>
      <c r="P53" s="23" t="str">
        <f ca="1">IFERROR(__xludf.DUMMYFUNCTION("""COMPUTED_VALUE"""),"-")</f>
        <v>-</v>
      </c>
      <c r="Q53" s="18"/>
      <c r="R53" s="24"/>
      <c r="S53" s="18"/>
      <c r="T53" s="31"/>
      <c r="U53" s="23"/>
      <c r="V53" s="18"/>
      <c r="W53" s="18"/>
      <c r="X53" s="20"/>
      <c r="Y53" s="26">
        <f ca="1">IFERROR(__xludf.DUMMYFUNCTION("""COMPUTED_VALUE"""),0.04)</f>
        <v>0.04</v>
      </c>
      <c r="Z53" s="27">
        <f ca="1">IFERROR(__xludf.DUMMYFUNCTION("""COMPUTED_VALUE"""),0.047)</f>
        <v>4.7E-2</v>
      </c>
      <c r="AA53" s="28"/>
      <c r="AB53" s="28"/>
      <c r="AC53" s="28"/>
      <c r="AD53" s="28"/>
      <c r="AE53" s="28"/>
      <c r="AF53" s="28"/>
      <c r="AG53" s="28"/>
      <c r="AH53" s="28"/>
      <c r="AI53" s="28"/>
      <c r="AJ53" s="28"/>
    </row>
    <row r="54" spans="1:36" ht="300.75" thickBot="1" x14ac:dyDescent="0.3">
      <c r="A54" s="17" t="str">
        <f ca="1">IFERROR(__xludf.DUMMYFUNCTION("""COMPUTED_VALUE"""),"TEMPO HOLDINHG")</f>
        <v>TEMPO HOLDINHG</v>
      </c>
      <c r="B54" s="18" t="str">
        <f ca="1">IFERROR(__xludf.DUMMYFUNCTION("""COMPUTED_VALUE"""),"Queen's Residence")</f>
        <v>Queen's Residence</v>
      </c>
      <c r="C54" s="18" t="str">
        <f ca="1">IFERROR(__xludf.DUMMYFUNCTION("""COMPUTED_VALUE"""),"ПВ 20%, 60% до конца 2027 года, 20% в конце")</f>
        <v>ПВ 20%, 60% до конца 2027 года, 20% в конце</v>
      </c>
      <c r="D54" s="18" t="str">
        <f ca="1">IFERROR(__xludf.DUMMYFUNCTION("""COMPUTED_VALUE"""),"ПВ 20% - 100% комиссии")</f>
        <v>ПВ 20% - 100% комиссии</v>
      </c>
      <c r="E54" s="19" t="str">
        <f ca="1">IFERROR(__xludf.DUMMYFUNCTION("""COMPUTED_VALUE"""),"Ссылка")</f>
        <v>Ссылка</v>
      </c>
      <c r="F54" s="19" t="str">
        <f ca="1">IFERROR(__xludf.DUMMYFUNCTION("""COMPUTED_VALUE"""),"Ссылка")</f>
        <v>Ссылка</v>
      </c>
      <c r="G54" s="19" t="str">
        <f ca="1">IFERROR(__xludf.DUMMYFUNCTION("""COMPUTED_VALUE"""),"Ссылка")</f>
        <v>Ссылка</v>
      </c>
      <c r="H54" s="19" t="str">
        <f ca="1">IFERROR(__xludf.DUMMYFUNCTION("""COMPUTED_VALUE"""),"Яндекс")</f>
        <v>Яндекс</v>
      </c>
      <c r="I54" s="19" t="str">
        <f ca="1">IFERROR(__xludf.DUMMYFUNCTION("""COMPUTED_VALUE"""),"Ссылка")</f>
        <v>Ссылка</v>
      </c>
      <c r="J54" s="18" t="str">
        <f ca="1">IFERROR(__xludf.DUMMYFUNCTION("""COMPUTED_VALUE"""),"WF")</f>
        <v>WF</v>
      </c>
      <c r="K54" s="18" t="str">
        <f ca="1">IFERROR(__xludf.DUMMYFUNCTION("""COMPUTED_VALUE"""),"Апартаменты")</f>
        <v>Апартаменты</v>
      </c>
      <c r="L54" s="18" t="str">
        <f ca="1">IFERROR(__xludf.DUMMYFUNCTION("""COMPUTED_VALUE"""),"32-99")</f>
        <v>32-99</v>
      </c>
      <c r="M54" s="20" t="str">
        <f ca="1">IFERROR(__xludf.DUMMYFUNCTION("""COMPUTED_VALUE"""),"декабрь")</f>
        <v>декабрь</v>
      </c>
      <c r="N54" s="21" t="str">
        <f ca="1">IFERROR(__xludf.DUMMYFUNCTION("""COMPUTED_VALUE"""),"2026 (A), 2026 В), Блок А: Блок A: White frame — июль 2026 года, Промежуточный ремонт / ремонт «под ключ» — октябрь 2026 года. Блок Б: White frame — декабрь 2026 года, Промежуточный ремонт / ремонт «под ключ» — апрель 2027 года")</f>
        <v>2026 (A), 2026 В), Блок А: Блок A: White frame — июль 2026 года, Промежуточный ремонт / ремонт «под ключ» — октябрь 2026 года. Блок Б: White frame — декабрь 2026 года, Промежуточный ремонт / ремонт «под ключ» — апрель 2027 года</v>
      </c>
      <c r="O54" s="22" t="str">
        <f ca="1">IFERROR(__xludf.DUMMYFUNCTION("""COMPUTED_VALUE"""),"600$ GF (без мебели и техники, со встроенной кухней и ванной)
800$ turnkey")</f>
        <v>600$ GF (без мебели и техники, со встроенной кухней и ванной)
800$ turnkey</v>
      </c>
      <c r="P54" s="23" t="str">
        <f ca="1">IFERROR(__xludf.DUMMYFUNCTION("""COMPUTED_VALUE"""),"Выплачивается в полном размере")</f>
        <v>Выплачивается в полном размере</v>
      </c>
      <c r="Q54" s="18"/>
      <c r="R54" s="24" t="str">
        <f ca="1">IFERROR(__xludf.DUMMYFUNCTION("""COMPUTED_VALUE"""),"Батуми")</f>
        <v>Батуми</v>
      </c>
      <c r="S54" s="22" t="str">
        <f ca="1">IFERROR(__xludf.DUMMYFUNCTION("""COMPUTED_VALUE"""),"B block: 1200$ WF
A block: 1 260$")</f>
        <v>B block: 1200$ WF
A block: 1 260$</v>
      </c>
      <c r="T54" s="25">
        <f ca="1">IFERROR(__xludf.DUMMYFUNCTION("""COMPUTED_VALUE"""),16)</f>
        <v>16</v>
      </c>
      <c r="U54" s="23" t="str">
        <f ca="1">IFERROR(__xludf.DUMMYFUNCTION("""COMPUTED_VALUE"""),"Да")</f>
        <v>Да</v>
      </c>
      <c r="V54" s="19" t="str">
        <f ca="1">IFERROR(__xludf.DUMMYFUNCTION("""COMPUTED_VALUE"""),"Ссылка")</f>
        <v>Ссылка</v>
      </c>
      <c r="W54" s="18"/>
      <c r="X54" s="20" t="str">
        <f ca="1">IFERROR(__xludf.DUMMYFUNCTION("""COMPUTED_VALUE"""),"995 557 405 555 Нана, 995 591 02 00 97 Алекс")</f>
        <v>995 557 405 555 Нана, 995 591 02 00 97 Алекс</v>
      </c>
      <c r="Y54" s="26">
        <f ca="1">IFERROR(__xludf.DUMMYFUNCTION("""COMPUTED_VALUE"""),0.04)</f>
        <v>0.04</v>
      </c>
      <c r="Z54" s="27">
        <f ca="1">IFERROR(__xludf.DUMMYFUNCTION("""COMPUTED_VALUE"""),0.047)</f>
        <v>4.7E-2</v>
      </c>
      <c r="AA54" s="28"/>
      <c r="AB54" s="28"/>
      <c r="AC54" s="28"/>
      <c r="AD54" s="28"/>
      <c r="AE54" s="28"/>
      <c r="AF54" s="28"/>
      <c r="AG54" s="28"/>
      <c r="AH54" s="28"/>
      <c r="AI54" s="28"/>
      <c r="AJ54" s="28"/>
    </row>
    <row r="55" spans="1:36" ht="120.75" thickBot="1" x14ac:dyDescent="0.3">
      <c r="A55" s="17" t="str">
        <f ca="1">IFERROR(__xludf.DUMMYFUNCTION("""COMPUTED_VALUE"""),"TEMPO HOLDINHG")</f>
        <v>TEMPO HOLDINHG</v>
      </c>
      <c r="B55" s="18" t="str">
        <f ca="1">IFERROR(__xludf.DUMMYFUNCTION("""COMPUTED_VALUE"""),"Serenade")</f>
        <v>Serenade</v>
      </c>
      <c r="C55" s="18" t="str">
        <f ca="1">IFERROR(__xludf.DUMMYFUNCTION("""COMPUTED_VALUE"""),"ПВ 20%, 60% до конца августа  2028 года, 20% в конце")</f>
        <v>ПВ 20%, 60% до конца августа  2028 года, 20% в конце</v>
      </c>
      <c r="D55" s="18" t="str">
        <f ca="1">IFERROR(__xludf.DUMMYFUNCTION("""COMPUTED_VALUE"""),"ПВ 20% - 100% комиссии")</f>
        <v>ПВ 20% - 100% комиссии</v>
      </c>
      <c r="E55" s="19" t="str">
        <f ca="1">IFERROR(__xludf.DUMMYFUNCTION("""COMPUTED_VALUE"""),"Ссылка")</f>
        <v>Ссылка</v>
      </c>
      <c r="F55" s="19" t="str">
        <f ca="1">IFERROR(__xludf.DUMMYFUNCTION("""COMPUTED_VALUE"""),"Ссылка")</f>
        <v>Ссылка</v>
      </c>
      <c r="G55" s="19" t="str">
        <f ca="1">IFERROR(__xludf.DUMMYFUNCTION("""COMPUTED_VALUE"""),"Ссылка")</f>
        <v>Ссылка</v>
      </c>
      <c r="H55" s="19" t="str">
        <f ca="1">IFERROR(__xludf.DUMMYFUNCTION("""COMPUTED_VALUE"""),"Яндекс")</f>
        <v>Яндекс</v>
      </c>
      <c r="I55" s="19" t="str">
        <f ca="1">IFERROR(__xludf.DUMMYFUNCTION("""COMPUTED_VALUE"""),"Ссылка")</f>
        <v>Ссылка</v>
      </c>
      <c r="J55" s="18" t="str">
        <f ca="1">IFERROR(__xludf.DUMMYFUNCTION("""COMPUTED_VALUE"""),"GF")</f>
        <v>GF</v>
      </c>
      <c r="K55" s="18" t="str">
        <f ca="1">IFERROR(__xludf.DUMMYFUNCTION("""COMPUTED_VALUE"""),"Апартаменты")</f>
        <v>Апартаменты</v>
      </c>
      <c r="L55" s="18" t="str">
        <f ca="1">IFERROR(__xludf.DUMMYFUNCTION("""COMPUTED_VALUE"""),"32-109")</f>
        <v>32-109</v>
      </c>
      <c r="M55" s="20" t="str">
        <f ca="1">IFERROR(__xludf.DUMMYFUNCTION("""COMPUTED_VALUE"""),"август")</f>
        <v>август</v>
      </c>
      <c r="N55" s="21">
        <f ca="1">IFERROR(__xludf.DUMMYFUNCTION("""COMPUTED_VALUE"""),2028)</f>
        <v>2028</v>
      </c>
      <c r="O55" s="22" t="str">
        <f ca="1">IFERROR(__xludf.DUMMYFUNCTION("""COMPUTED_VALUE"""),"700$ GF (без мебели и техники, но со встроенной кухней и ванной), 900$ turnkey")</f>
        <v>700$ GF (без мебели и техники, но со встроенной кухней и ванной), 900$ turnkey</v>
      </c>
      <c r="P55" s="23" t="str">
        <f ca="1">IFERROR(__xludf.DUMMYFUNCTION("""COMPUTED_VALUE"""),"Выплачивается в полном размере")</f>
        <v>Выплачивается в полном размере</v>
      </c>
      <c r="Q55" s="18"/>
      <c r="R55" s="24" t="str">
        <f ca="1">IFERROR(__xludf.DUMMYFUNCTION("""COMPUTED_VALUE"""),"Батуми")</f>
        <v>Батуми</v>
      </c>
      <c r="S55" s="22" t="str">
        <f ca="1">IFERROR(__xludf.DUMMYFUNCTION("""COMPUTED_VALUE"""),"1 250$")</f>
        <v>1 250$</v>
      </c>
      <c r="T55" s="25">
        <f ca="1">IFERROR(__xludf.DUMMYFUNCTION("""COMPUTED_VALUE"""),16)</f>
        <v>16</v>
      </c>
      <c r="U55" s="23" t="str">
        <f ca="1">IFERROR(__xludf.DUMMYFUNCTION("""COMPUTED_VALUE"""),"Нет")</f>
        <v>Нет</v>
      </c>
      <c r="V55" s="19" t="str">
        <f ca="1">IFERROR(__xludf.DUMMYFUNCTION("""COMPUTED_VALUE"""),"Ссылка")</f>
        <v>Ссылка</v>
      </c>
      <c r="W55" s="18"/>
      <c r="X55" s="20" t="str">
        <f ca="1">IFERROR(__xludf.DUMMYFUNCTION("""COMPUTED_VALUE"""),"995 557 405 555 Нана, 995 591 02 00 97 Алекс")</f>
        <v>995 557 405 555 Нана, 995 591 02 00 97 Алекс</v>
      </c>
      <c r="Y55" s="26">
        <f ca="1">IFERROR(__xludf.DUMMYFUNCTION("""COMPUTED_VALUE"""),0.04)</f>
        <v>0.04</v>
      </c>
      <c r="Z55" s="27">
        <f ca="1">IFERROR(__xludf.DUMMYFUNCTION("""COMPUTED_VALUE"""),0.047)</f>
        <v>4.7E-2</v>
      </c>
      <c r="AA55" s="28"/>
      <c r="AB55" s="28"/>
      <c r="AC55" s="28"/>
      <c r="AD55" s="28"/>
      <c r="AE55" s="28"/>
      <c r="AF55" s="28"/>
      <c r="AG55" s="28"/>
      <c r="AH55" s="28"/>
      <c r="AI55" s="28"/>
      <c r="AJ55" s="28"/>
    </row>
    <row r="56" spans="1:36" ht="45.75" thickBot="1" x14ac:dyDescent="0.3">
      <c r="A56" s="17" t="str">
        <f ca="1">IFERROR(__xludf.DUMMYFUNCTION("""COMPUTED_VALUE"""),"TOWER GROUP")</f>
        <v>TOWER GROUP</v>
      </c>
      <c r="B56" s="18" t="str">
        <f ca="1">IFERROR(__xludf.DUMMYFUNCTION("""COMPUTED_VALUE"""),"Mziani Valley")</f>
        <v>Mziani Valley</v>
      </c>
      <c r="C56" s="18" t="str">
        <f ca="1">IFERROR(__xludf.DUMMYFUNCTION("""COMPUTED_VALUE"""),"ПВ 30%, рассрочка на 24 месяца, не готовые блоки не продаются")</f>
        <v>ПВ 30%, рассрочка на 24 месяца, не готовые блоки не продаются</v>
      </c>
      <c r="D56" s="18" t="str">
        <f ca="1">IFERROR(__xludf.DUMMYFUNCTION("""COMPUTED_VALUE"""),"ПВ 30% - комиссия 100%")</f>
        <v>ПВ 30% - комиссия 100%</v>
      </c>
      <c r="E56" s="19" t="str">
        <f ca="1">IFERROR(__xludf.DUMMYFUNCTION("""COMPUTED_VALUE"""),"Ссылка")</f>
        <v>Ссылка</v>
      </c>
      <c r="F56" s="18" t="str">
        <f ca="1">IFERROR(__xludf.DUMMYFUNCTION("""COMPUTED_VALUE"""),"Нет чата")</f>
        <v>Нет чата</v>
      </c>
      <c r="G56" s="19" t="str">
        <f ca="1">IFERROR(__xludf.DUMMYFUNCTION("""COMPUTED_VALUE"""),"Ссылка")</f>
        <v>Ссылка</v>
      </c>
      <c r="H56" s="19" t="str">
        <f ca="1">IFERROR(__xludf.DUMMYFUNCTION("""COMPUTED_VALUE"""),"Яндекс")</f>
        <v>Яндекс</v>
      </c>
      <c r="I56" s="19" t="str">
        <f ca="1">IFERROR(__xludf.DUMMYFUNCTION("""COMPUTED_VALUE"""),"Ссылка")</f>
        <v>Ссылка</v>
      </c>
      <c r="J56" s="18" t="str">
        <f ca="1">IFERROR(__xludf.DUMMYFUNCTION("""COMPUTED_VALUE"""),"GF")</f>
        <v>GF</v>
      </c>
      <c r="K56" s="18" t="str">
        <f ca="1">IFERROR(__xludf.DUMMYFUNCTION("""COMPUTED_VALUE"""),"Апартаменты")</f>
        <v>Апартаменты</v>
      </c>
      <c r="L56" s="18" t="str">
        <f ca="1">IFERROR(__xludf.DUMMYFUNCTION("""COMPUTED_VALUE"""),"32-109")</f>
        <v>32-109</v>
      </c>
      <c r="M56" s="20" t="str">
        <f ca="1">IFERROR(__xludf.DUMMYFUNCTION("""COMPUTED_VALUE"""),"4 квартал")</f>
        <v>4 квартал</v>
      </c>
      <c r="N56" s="21">
        <f ca="1">IFERROR(__xludf.DUMMYFUNCTION("""COMPUTED_VALUE"""),2026)</f>
        <v>2026</v>
      </c>
      <c r="O56" s="18"/>
      <c r="P56" s="23" t="str">
        <f ca="1">IFERROR(__xludf.DUMMYFUNCTION("""COMPUTED_VALUE"""),"-")</f>
        <v>-</v>
      </c>
      <c r="Q56" s="18"/>
      <c r="R56" s="24" t="str">
        <f ca="1">IFERROR(__xludf.DUMMYFUNCTION("""COMPUTED_VALUE"""),"Бакуриани")</f>
        <v>Бакуриани</v>
      </c>
      <c r="S56" s="22" t="str">
        <f ca="1">IFERROR(__xludf.DUMMYFUNCTION("""COMPUTED_VALUE"""),"1 550$")</f>
        <v>1 550$</v>
      </c>
      <c r="T56" s="31"/>
      <c r="U56" s="23" t="str">
        <f ca="1">IFERROR(__xludf.DUMMYFUNCTION("""COMPUTED_VALUE"""),"Да")</f>
        <v>Да</v>
      </c>
      <c r="V56" s="19" t="str">
        <f ca="1">IFERROR(__xludf.DUMMYFUNCTION("""COMPUTED_VALUE"""),"Ссылка")</f>
        <v>Ссылка</v>
      </c>
      <c r="W56" s="18"/>
      <c r="X56" s="20" t="str">
        <f ca="1">IFERROR(__xludf.DUMMYFUNCTION("""COMPUTED_VALUE"""),"995 558 90 22 22 Георгий")</f>
        <v>995 558 90 22 22 Георгий</v>
      </c>
      <c r="Y56" s="26">
        <f ca="1">IFERROR(__xludf.DUMMYFUNCTION("""COMPUTED_VALUE"""),0.028)</f>
        <v>2.8000000000000001E-2</v>
      </c>
      <c r="Z56" s="27">
        <f ca="1">IFERROR(__xludf.DUMMYFUNCTION("""COMPUTED_VALUE"""),0.033)</f>
        <v>3.3000000000000002E-2</v>
      </c>
      <c r="AA56" s="28"/>
      <c r="AB56" s="28"/>
      <c r="AC56" s="28"/>
      <c r="AD56" s="28"/>
      <c r="AE56" s="28"/>
      <c r="AF56" s="28"/>
      <c r="AG56" s="28"/>
      <c r="AH56" s="28"/>
      <c r="AI56" s="28"/>
      <c r="AJ56" s="28"/>
    </row>
    <row r="57" spans="1:36" ht="45.75" thickBot="1" x14ac:dyDescent="0.3">
      <c r="A57" s="17" t="str">
        <f ca="1">IFERROR(__xludf.DUMMYFUNCTION("""COMPUTED_VALUE"""),"TOWER GROUP")</f>
        <v>TOWER GROUP</v>
      </c>
      <c r="B57" s="18" t="str">
        <f ca="1">IFERROR(__xludf.DUMMYFUNCTION("""COMPUTED_VALUE"""),"Kvirike Residence")</f>
        <v>Kvirike Residence</v>
      </c>
      <c r="C57" s="18" t="str">
        <f ca="1">IFERROR(__xludf.DUMMYFUNCTION("""COMPUTED_VALUE"""),"ПВ 10% и 36 месяцев рассрочка. 
И ПВ 0% по акции и 48 месяцев рассрочки. ")</f>
        <v xml:space="preserve">ПВ 10% и 36 месяцев рассрочка. 
И ПВ 0% по акции и 48 месяцев рассрочки. </v>
      </c>
      <c r="D57" s="18" t="str">
        <f ca="1">IFERROR(__xludf.DUMMYFUNCTION("""COMPUTED_VALUE"""),"ПВ 30% - 100% комиссии")</f>
        <v>ПВ 30% - 100% комиссии</v>
      </c>
      <c r="E57" s="19" t="str">
        <f ca="1">IFERROR(__xludf.DUMMYFUNCTION("""COMPUTED_VALUE"""),"Ссылка")</f>
        <v>Ссылка</v>
      </c>
      <c r="F57" s="19" t="str">
        <f ca="1">IFERROR(__xludf.DUMMYFUNCTION("""COMPUTED_VALUE"""),"Ссылка")</f>
        <v>Ссылка</v>
      </c>
      <c r="G57" s="19" t="str">
        <f ca="1">IFERROR(__xludf.DUMMYFUNCTION("""COMPUTED_VALUE"""),"Ссылка")</f>
        <v>Ссылка</v>
      </c>
      <c r="H57" s="19" t="str">
        <f ca="1">IFERROR(__xludf.DUMMYFUNCTION("""COMPUTED_VALUE"""),"Ссылка")</f>
        <v>Ссылка</v>
      </c>
      <c r="I57" s="19" t="str">
        <f ca="1">IFERROR(__xludf.DUMMYFUNCTION("""COMPUTED_VALUE"""),"Ссылка")</f>
        <v>Ссылка</v>
      </c>
      <c r="J57" s="18" t="str">
        <f ca="1">IFERROR(__xludf.DUMMYFUNCTION("""COMPUTED_VALUE"""),"WF")</f>
        <v>WF</v>
      </c>
      <c r="K57" s="18" t="str">
        <f ca="1">IFERROR(__xludf.DUMMYFUNCTION("""COMPUTED_VALUE"""),"Отельный комплекс")</f>
        <v>Отельный комплекс</v>
      </c>
      <c r="L57" s="18" t="str">
        <f ca="1">IFERROR(__xludf.DUMMYFUNCTION("""COMPUTED_VALUE"""),"31-94,7")</f>
        <v>31-94,7</v>
      </c>
      <c r="M57" s="20" t="str">
        <f ca="1">IFERROR(__xludf.DUMMYFUNCTION("""COMPUTED_VALUE"""),"4 квартал")</f>
        <v>4 квартал</v>
      </c>
      <c r="N57" s="21">
        <f ca="1">IFERROR(__xludf.DUMMYFUNCTION("""COMPUTED_VALUE"""),2028)</f>
        <v>2028</v>
      </c>
      <c r="O57" s="22" t="str">
        <f ca="1">IFERROR(__xludf.DUMMYFUNCTION("""COMPUTED_VALUE"""),"700$ под ключ")</f>
        <v>700$ под ключ</v>
      </c>
      <c r="P57" s="23" t="str">
        <f ca="1">IFERROR(__xludf.DUMMYFUNCTION("""COMPUTED_VALUE"""),"Выплачивается в полнос размере")</f>
        <v>Выплачивается в полнос размере</v>
      </c>
      <c r="Q57" s="18"/>
      <c r="R57" s="24" t="str">
        <f ca="1">IFERROR(__xludf.DUMMYFUNCTION("""COMPUTED_VALUE"""),"Кобулетти")</f>
        <v>Кобулетти</v>
      </c>
      <c r="S57" s="22" t="str">
        <f ca="1">IFERROR(__xludf.DUMMYFUNCTION("""COMPUTED_VALUE"""),"1400$")</f>
        <v>1400$</v>
      </c>
      <c r="T57" s="25">
        <f ca="1">IFERROR(__xludf.DUMMYFUNCTION("""COMPUTED_VALUE"""),6)</f>
        <v>6</v>
      </c>
      <c r="U57" s="23" t="str">
        <f ca="1">IFERROR(__xludf.DUMMYFUNCTION("""COMPUTED_VALUE"""),"нет")</f>
        <v>нет</v>
      </c>
      <c r="V57" s="19" t="str">
        <f ca="1">IFERROR(__xludf.DUMMYFUNCTION("""COMPUTED_VALUE"""),"Ссылка")</f>
        <v>Ссылка</v>
      </c>
      <c r="W57" s="18"/>
      <c r="X57" s="20" t="str">
        <f ca="1">IFERROR(__xludf.DUMMYFUNCTION("""COMPUTED_VALUE"""),"995 558 90 22 22 Георгий")</f>
        <v>995 558 90 22 22 Георгий</v>
      </c>
      <c r="Y57" s="26">
        <f ca="1">IFERROR(__xludf.DUMMYFUNCTION("""COMPUTED_VALUE"""),0.028)</f>
        <v>2.8000000000000001E-2</v>
      </c>
      <c r="Z57" s="27">
        <f ca="1">IFERROR(__xludf.DUMMYFUNCTION("""COMPUTED_VALUE"""),0.033)</f>
        <v>3.3000000000000002E-2</v>
      </c>
      <c r="AA57" s="28"/>
      <c r="AB57" s="28"/>
      <c r="AC57" s="28"/>
      <c r="AD57" s="28"/>
      <c r="AE57" s="28"/>
      <c r="AF57" s="28"/>
      <c r="AG57" s="28"/>
      <c r="AH57" s="28"/>
      <c r="AI57" s="28"/>
      <c r="AJ57" s="28"/>
    </row>
    <row r="58" spans="1:36" ht="45.75" thickBot="1" x14ac:dyDescent="0.3">
      <c r="A58" s="17" t="str">
        <f ca="1">IFERROR(__xludf.DUMMYFUNCTION("""COMPUTED_VALUE"""),"TOWER GROUP")</f>
        <v>TOWER GROUP</v>
      </c>
      <c r="B58" s="18" t="str">
        <f ca="1">IFERROR(__xludf.DUMMYFUNCTION("""COMPUTED_VALUE"""),"Panorama")</f>
        <v>Panorama</v>
      </c>
      <c r="C58" s="18" t="str">
        <f ca="1">IFERROR(__xludf.DUMMYFUNCTION("""COMPUTED_VALUE"""),"ПВ 30%, рассрочка 28 месяцев")</f>
        <v>ПВ 30%, рассрочка 28 месяцев</v>
      </c>
      <c r="D58" s="18" t="str">
        <f ca="1">IFERROR(__xludf.DUMMYFUNCTION("""COMPUTED_VALUE"""),"ПВ 30% - комиссия 100%")</f>
        <v>ПВ 30% - комиссия 100%</v>
      </c>
      <c r="E58" s="19" t="str">
        <f ca="1">IFERROR(__xludf.DUMMYFUNCTION("""COMPUTED_VALUE"""),"Ссылка")</f>
        <v>Ссылка</v>
      </c>
      <c r="F58" s="19" t="str">
        <f ca="1">IFERROR(__xludf.DUMMYFUNCTION("""COMPUTED_VALUE"""),"Ссылка")</f>
        <v>Ссылка</v>
      </c>
      <c r="G58" s="37" t="str">
        <f ca="1">IFERROR(__xludf.DUMMYFUNCTION("""COMPUTED_VALUE"""),"Ссылка")</f>
        <v>Ссылка</v>
      </c>
      <c r="H58" s="19" t="str">
        <f ca="1">IFERROR(__xludf.DUMMYFUNCTION("""COMPUTED_VALUE"""),"Яндекс")</f>
        <v>Яндекс</v>
      </c>
      <c r="I58" s="19" t="str">
        <f ca="1">IFERROR(__xludf.DUMMYFUNCTION("""COMPUTED_VALUE"""),"Ссылка")</f>
        <v>Ссылка</v>
      </c>
      <c r="J58" s="18" t="str">
        <f ca="1">IFERROR(__xludf.DUMMYFUNCTION("""COMPUTED_VALUE"""),"Turnkey")</f>
        <v>Turnkey</v>
      </c>
      <c r="K58" s="18" t="str">
        <f ca="1">IFERROR(__xludf.DUMMYFUNCTION("""COMPUTED_VALUE"""),"Апартаменты")</f>
        <v>Апартаменты</v>
      </c>
      <c r="L58" s="18" t="str">
        <f ca="1">IFERROR(__xludf.DUMMYFUNCTION("""COMPUTED_VALUE"""),"35-110")</f>
        <v>35-110</v>
      </c>
      <c r="M58" s="20" t="str">
        <f ca="1">IFERROR(__xludf.DUMMYFUNCTION("""COMPUTED_VALUE"""),"июнь")</f>
        <v>июнь</v>
      </c>
      <c r="N58" s="21">
        <f ca="1">IFERROR(__xludf.DUMMYFUNCTION("""COMPUTED_VALUE"""),2026)</f>
        <v>2026</v>
      </c>
      <c r="O58" s="22" t="str">
        <f ca="1">IFERROR(__xludf.DUMMYFUNCTION("""COMPUTED_VALUE"""),"-")</f>
        <v>-</v>
      </c>
      <c r="P58" s="23" t="str">
        <f ca="1">IFERROR(__xludf.DUMMYFUNCTION("""COMPUTED_VALUE"""),"-")</f>
        <v>-</v>
      </c>
      <c r="Q58" s="18"/>
      <c r="R58" s="24" t="str">
        <f ca="1">IFERROR(__xludf.DUMMYFUNCTION("""COMPUTED_VALUE"""),"Батуми")</f>
        <v>Батуми</v>
      </c>
      <c r="S58" s="22" t="str">
        <f ca="1">IFERROR(__xludf.DUMMYFUNCTION("""COMPUTED_VALUE"""),"2 600$")</f>
        <v>2 600$</v>
      </c>
      <c r="T58" s="25">
        <f ca="1">IFERROR(__xludf.DUMMYFUNCTION("""COMPUTED_VALUE"""),40)</f>
        <v>40</v>
      </c>
      <c r="U58" s="23" t="str">
        <f ca="1">IFERROR(__xludf.DUMMYFUNCTION("""COMPUTED_VALUE"""),"Нет")</f>
        <v>Нет</v>
      </c>
      <c r="V58" s="19" t="str">
        <f ca="1">IFERROR(__xludf.DUMMYFUNCTION("""COMPUTED_VALUE"""),"Ссылка")</f>
        <v>Ссылка</v>
      </c>
      <c r="W58" s="18"/>
      <c r="X58" s="20" t="str">
        <f ca="1">IFERROR(__xludf.DUMMYFUNCTION("""COMPUTED_VALUE"""),"995 558 90 22 22 Георгий")</f>
        <v>995 558 90 22 22 Георгий</v>
      </c>
      <c r="Y58" s="26">
        <f ca="1">IFERROR(__xludf.DUMMYFUNCTION("""COMPUTED_VALUE"""),0.028)</f>
        <v>2.8000000000000001E-2</v>
      </c>
      <c r="Z58" s="27">
        <f ca="1">IFERROR(__xludf.DUMMYFUNCTION("""COMPUTED_VALUE"""),0.033)</f>
        <v>3.3000000000000002E-2</v>
      </c>
      <c r="AA58" s="28"/>
      <c r="AB58" s="28"/>
      <c r="AC58" s="28"/>
      <c r="AD58" s="28"/>
      <c r="AE58" s="28"/>
      <c r="AF58" s="28"/>
      <c r="AG58" s="28"/>
      <c r="AH58" s="28"/>
      <c r="AI58" s="28"/>
      <c r="AJ58" s="28"/>
    </row>
    <row r="59" spans="1:36" ht="60.75" thickBot="1" x14ac:dyDescent="0.3">
      <c r="A59" s="17" t="str">
        <f ca="1">IFERROR(__xludf.DUMMYFUNCTION("""COMPUTED_VALUE"""),"TOWER GROUP")</f>
        <v>TOWER GROUP</v>
      </c>
      <c r="B59" s="18" t="str">
        <f ca="1">IFERROR(__xludf.DUMMYFUNCTION("""COMPUTED_VALUE"""),"Piazza Batumi")</f>
        <v>Piazza Batumi</v>
      </c>
      <c r="C59" s="18" t="str">
        <f ca="1">IFERROR(__xludf.DUMMYFUNCTION("""COMPUTED_VALUE"""),"ПВ 10%, рассрочка до конца 2028")</f>
        <v>ПВ 10%, рассрочка до конца 2028</v>
      </c>
      <c r="D59" s="18" t="str">
        <f ca="1">IFERROR(__xludf.DUMMYFUNCTION("""COMPUTED_VALUE"""),"ПВ 30% - комиссия 100%")</f>
        <v>ПВ 30% - комиссия 100%</v>
      </c>
      <c r="E59" s="19" t="str">
        <f ca="1">IFERROR(__xludf.DUMMYFUNCTION("""COMPUTED_VALUE"""),"Ссылка")</f>
        <v>Ссылка</v>
      </c>
      <c r="F59" s="19" t="str">
        <f ca="1">IFERROR(__xludf.DUMMYFUNCTION("""COMPUTED_VALUE"""),"Ссылка")</f>
        <v>Ссылка</v>
      </c>
      <c r="G59" s="19" t="str">
        <f ca="1">IFERROR(__xludf.DUMMYFUNCTION("""COMPUTED_VALUE"""),"Ссылка")</f>
        <v>Ссылка</v>
      </c>
      <c r="H59" s="19" t="str">
        <f ca="1">IFERROR(__xludf.DUMMYFUNCTION("""COMPUTED_VALUE"""),"Яндекс")</f>
        <v>Яндекс</v>
      </c>
      <c r="I59" s="19" t="str">
        <f ca="1">IFERROR(__xludf.DUMMYFUNCTION("""COMPUTED_VALUE"""),"https://centralmg.ge/ge/piazza/apartments#/")</f>
        <v>https://centralmg.ge/ge/piazza/apartments#/</v>
      </c>
      <c r="J59" s="18" t="str">
        <f ca="1">IFERROR(__xludf.DUMMYFUNCTION("""COMPUTED_VALUE"""),"WF")</f>
        <v>WF</v>
      </c>
      <c r="K59" s="18" t="str">
        <f ca="1">IFERROR(__xludf.DUMMYFUNCTION("""COMPUTED_VALUE"""),"Жилой")</f>
        <v>Жилой</v>
      </c>
      <c r="L59" s="18" t="str">
        <f ca="1">IFERROR(__xludf.DUMMYFUNCTION("""COMPUTED_VALUE"""),"37-118")</f>
        <v>37-118</v>
      </c>
      <c r="M59" s="20" t="str">
        <f ca="1">IFERROR(__xludf.DUMMYFUNCTION("""COMPUTED_VALUE"""),"4 квартал")</f>
        <v>4 квартал</v>
      </c>
      <c r="N59" s="21">
        <f ca="1">IFERROR(__xludf.DUMMYFUNCTION("""COMPUTED_VALUE"""),2028)</f>
        <v>2028</v>
      </c>
      <c r="O59" s="22" t="str">
        <f ca="1">IFERROR(__xludf.DUMMYFUNCTION("""COMPUTED_VALUE"""),"Пока не предлагают")</f>
        <v>Пока не предлагают</v>
      </c>
      <c r="P59" s="34" t="str">
        <f ca="1">IFERROR(__xludf.DUMMYFUNCTION("""COMPUTED_VALUE"""),"Пока не предлагают")</f>
        <v>Пока не предлагают</v>
      </c>
      <c r="Q59" s="18"/>
      <c r="R59" s="24" t="str">
        <f ca="1">IFERROR(__xludf.DUMMYFUNCTION("""COMPUTED_VALUE"""),"Батуми")</f>
        <v>Батуми</v>
      </c>
      <c r="S59" s="22" t="str">
        <f ca="1">IFERROR(__xludf.DUMMYFUNCTION("""COMPUTED_VALUE"""),"2 300$")</f>
        <v>2 300$</v>
      </c>
      <c r="T59" s="25">
        <f ca="1">IFERROR(__xludf.DUMMYFUNCTION("""COMPUTED_VALUE"""),24)</f>
        <v>24</v>
      </c>
      <c r="U59" s="23" t="str">
        <f ca="1">IFERROR(__xludf.DUMMYFUNCTION("""COMPUTED_VALUE"""),"Нет")</f>
        <v>Нет</v>
      </c>
      <c r="V59" s="19" t="str">
        <f ca="1">IFERROR(__xludf.DUMMYFUNCTION("""COMPUTED_VALUE"""),"Ссылка")</f>
        <v>Ссылка</v>
      </c>
      <c r="W59" s="18"/>
      <c r="X59" s="20" t="str">
        <f ca="1">IFERROR(__xludf.DUMMYFUNCTION("""COMPUTED_VALUE"""),"995 558 90 22 22 Георгий")</f>
        <v>995 558 90 22 22 Георгий</v>
      </c>
      <c r="Y59" s="26">
        <f ca="1">IFERROR(__xludf.DUMMYFUNCTION("""COMPUTED_VALUE"""),0.028)</f>
        <v>2.8000000000000001E-2</v>
      </c>
      <c r="Z59" s="27">
        <f ca="1">IFERROR(__xludf.DUMMYFUNCTION("""COMPUTED_VALUE"""),0.033)</f>
        <v>3.3000000000000002E-2</v>
      </c>
      <c r="AA59" s="28"/>
      <c r="AB59" s="28"/>
      <c r="AC59" s="28"/>
      <c r="AD59" s="28"/>
      <c r="AE59" s="28"/>
      <c r="AF59" s="28"/>
      <c r="AG59" s="28"/>
      <c r="AH59" s="28"/>
      <c r="AI59" s="28"/>
      <c r="AJ59" s="28"/>
    </row>
    <row r="60" spans="1:36" ht="165.75" thickBot="1" x14ac:dyDescent="0.3">
      <c r="A60" s="17" t="str">
        <f ca="1">IFERROR(__xludf.DUMMYFUNCTION("""COMPUTED_VALUE"""),"PONTUS")</f>
        <v>PONTUS</v>
      </c>
      <c r="B60" s="18" t="str">
        <f ca="1">IFERROR(__xludf.DUMMYFUNCTION("""COMPUTED_VALUE"""),"ROTANA")</f>
        <v>ROTANA</v>
      </c>
      <c r="C60" s="18" t="str">
        <f ca="1">IFERROR(__xludf.DUMMYFUNCTION("""COMPUTED_VALUE"""),"10% первоначальный взнос, 50% распределяется на 21 месяцев, и финальный взнос 40% – в декабре 2027 года.Скидки и акции – обсуждаются индивидуально в зависимости от выбранного плана оплаты, суммы инвестиции и условий сделки.")</f>
        <v>10% первоначальный взнос, 50% распределяется на 21 месяцев, и финальный взнос 40% – в декабре 2027 года.Скидки и акции – обсуждаются индивидуально в зависимости от выбранного плана оплаты, суммы инвестиции и условий сделки.</v>
      </c>
      <c r="D60" s="18" t="str">
        <f ca="1">IFERROR(__xludf.DUMMYFUNCTION("""COMPUTED_VALUE"""),"ПВ 20% - 100% комиссии")</f>
        <v>ПВ 20% - 100% комиссии</v>
      </c>
      <c r="E60" s="19" t="str">
        <f ca="1">IFERROR(__xludf.DUMMYFUNCTION("""COMPUTED_VALUE"""),"Ссылка")</f>
        <v>Ссылка</v>
      </c>
      <c r="F60" s="19" t="str">
        <f ca="1">IFERROR(__xludf.DUMMYFUNCTION("""COMPUTED_VALUE"""),"Ссылка")</f>
        <v>Ссылка</v>
      </c>
      <c r="G60" s="19" t="str">
        <f ca="1">IFERROR(__xludf.DUMMYFUNCTION("""COMPUTED_VALUE"""),"Ссылка")</f>
        <v>Ссылка</v>
      </c>
      <c r="H60" s="19" t="str">
        <f ca="1">IFERROR(__xludf.DUMMYFUNCTION("""COMPUTED_VALUE"""),"Яндекс")</f>
        <v>Яндекс</v>
      </c>
      <c r="I60" s="19" t="str">
        <f ca="1">IFERROR(__xludf.DUMMYFUNCTION("""COMPUTED_VALUE"""),"Ссылка")</f>
        <v>Ссылка</v>
      </c>
      <c r="J60" s="18" t="str">
        <f ca="1">IFERROR(__xludf.DUMMYFUNCTION("""COMPUTED_VALUE"""),"Turnkey")</f>
        <v>Turnkey</v>
      </c>
      <c r="K60" s="18" t="str">
        <f ca="1">IFERROR(__xludf.DUMMYFUNCTION("""COMPUTED_VALUE"""),"Брендированный тель")</f>
        <v>Брендированный тель</v>
      </c>
      <c r="L60" s="18" t="str">
        <f ca="1">IFERROR(__xludf.DUMMYFUNCTION("""COMPUTED_VALUE"""),"27,9–120,28 м2")</f>
        <v>27,9–120,28 м2</v>
      </c>
      <c r="M60" s="20" t="str">
        <f ca="1">IFERROR(__xludf.DUMMYFUNCTION("""COMPUTED_VALUE"""),"4 квартал")</f>
        <v>4 квартал</v>
      </c>
      <c r="N60" s="21">
        <f ca="1">IFERROR(__xludf.DUMMYFUNCTION("""COMPUTED_VALUE"""),2027)</f>
        <v>2027</v>
      </c>
      <c r="O60" s="22" t="str">
        <f ca="1">IFERROR(__xludf.DUMMYFUNCTION("""COMPUTED_VALUE"""),"-")</f>
        <v>-</v>
      </c>
      <c r="P60" s="34" t="str">
        <f ca="1">IFERROR(__xludf.DUMMYFUNCTION("""COMPUTED_VALUE"""),"-")</f>
        <v>-</v>
      </c>
      <c r="Q60" s="18"/>
      <c r="R60" s="24" t="str">
        <f ca="1">IFERROR(__xludf.DUMMYFUNCTION("""COMPUTED_VALUE"""),"Батуми")</f>
        <v>Батуми</v>
      </c>
      <c r="S60" s="22" t="str">
        <f ca="1">IFERROR(__xludf.DUMMYFUNCTION("""COMPUTED_VALUE"""),"4 145$")</f>
        <v>4 145$</v>
      </c>
      <c r="T60" s="25">
        <f ca="1">IFERROR(__xludf.DUMMYFUNCTION("""COMPUTED_VALUE"""),28)</f>
        <v>28</v>
      </c>
      <c r="U60" s="23" t="str">
        <f ca="1">IFERROR(__xludf.DUMMYFUNCTION("""COMPUTED_VALUE"""),"Возможна покупка через банк TBC. Условие: 20% первоначальный взнос, банк финансирует оставшуюся часть.")</f>
        <v>Возможна покупка через банк TBC. Условие: 20% первоначальный взнос, банк финансирует оставшуюся часть.</v>
      </c>
      <c r="V60" s="18" t="str">
        <f ca="1">IFERROR(__xludf.DUMMYFUNCTION("""COMPUTED_VALUE"""),"-")</f>
        <v>-</v>
      </c>
      <c r="W60" s="18"/>
      <c r="X60" s="20" t="str">
        <f ca="1">IFERROR(__xludf.DUMMYFUNCTION("""COMPUTED_VALUE"""),"995 577 21 12 10 Гванца")</f>
        <v>995 577 21 12 10 Гванца</v>
      </c>
      <c r="Y60" s="26">
        <f ca="1">IFERROR(__xludf.DUMMYFUNCTION("""COMPUTED_VALUE"""),0.042)</f>
        <v>4.2000000000000003E-2</v>
      </c>
      <c r="Z60" s="27">
        <f ca="1">IFERROR(__xludf.DUMMYFUNCTION("""COMPUTED_VALUE"""),0.05)</f>
        <v>0.05</v>
      </c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1" spans="1:36" ht="180.75" thickBot="1" x14ac:dyDescent="0.3">
      <c r="A61" s="17" t="str">
        <f ca="1">IFERROR(__xludf.DUMMYFUNCTION("""COMPUTED_VALUE"""),"AB DEVELOPMENT LLC")</f>
        <v>AB DEVELOPMENT LLC</v>
      </c>
      <c r="B61" s="18" t="str">
        <f ca="1">IFERROR(__xludf.DUMMYFUNCTION("""COMPUTED_VALUE"""),"RED")</f>
        <v>RED</v>
      </c>
      <c r="C61" s="18" t="str">
        <f ca="1">IFERROR(__xludf.DUMMYFUNCTION("""COMPUTED_VALUE"""),"ПВ 30% и рассрочка 44 месяца. ПВ 10% и рассрочка до декабря 2028 года. Скидки и условия лучше смотреть в шахматке (красным цветом). При 100% оплате цена 1150$ на 15й этаж и 1250 за 50% ПВ
Скидки и условия лучше смотреть в шахматке (красным цветом)")</f>
        <v>ПВ 30% и рассрочка 44 месяца. ПВ 10% и рассрочка до декабря 2028 года. Скидки и условия лучше смотреть в шахматке (красным цветом). При 100% оплате цена 1150$ на 15й этаж и 1250 за 50% ПВ
Скидки и условия лучше смотреть в шахматке (красным цветом)</v>
      </c>
      <c r="D61" s="18" t="str">
        <f ca="1">IFERROR(__xludf.DUMMYFUNCTION("""COMPUTED_VALUE"""),"ПВ 10% - 50% комиссии, ПВ 20% - 100 % комиссии")</f>
        <v>ПВ 10% - 50% комиссии, ПВ 20% - 100 % комиссии</v>
      </c>
      <c r="E61" s="19" t="str">
        <f ca="1">IFERROR(__xludf.DUMMYFUNCTION("""COMPUTED_VALUE"""),"Ссылка")</f>
        <v>Ссылка</v>
      </c>
      <c r="F61" s="19" t="str">
        <f ca="1">IFERROR(__xludf.DUMMYFUNCTION("""COMPUTED_VALUE"""),"Ссылка")</f>
        <v>Ссылка</v>
      </c>
      <c r="G61" s="19" t="str">
        <f ca="1">IFERROR(__xludf.DUMMYFUNCTION("""COMPUTED_VALUE"""),"Cсылка")</f>
        <v>Cсылка</v>
      </c>
      <c r="H61" s="19" t="str">
        <f ca="1">IFERROR(__xludf.DUMMYFUNCTION("""COMPUTED_VALUE"""),"Ссылка")</f>
        <v>Ссылка</v>
      </c>
      <c r="I61" s="19" t="str">
        <f ca="1">IFERROR(__xludf.DUMMYFUNCTION("""COMPUTED_VALUE"""),"Ссылка")</f>
        <v>Ссылка</v>
      </c>
      <c r="J61" s="18" t="str">
        <f ca="1">IFERROR(__xludf.DUMMYFUNCTION("""COMPUTED_VALUE"""),"BF")</f>
        <v>BF</v>
      </c>
      <c r="K61" s="18" t="str">
        <f ca="1">IFERROR(__xludf.DUMMYFUNCTION("""COMPUTED_VALUE"""),"Жилой ")</f>
        <v xml:space="preserve">Жилой </v>
      </c>
      <c r="L61" s="18" t="str">
        <f ca="1">IFERROR(__xludf.DUMMYFUNCTION("""COMPUTED_VALUE"""),"всего 1012 квартир. - 39 Студий (34, 34.1 м²)  
- 5 Евродвушек (от 44.6 м² до 55.1 м²)  
- 5 Евротрешек (66.2 до 97 м²)  
")</f>
        <v xml:space="preserve">всего 1012 квартир. - 39 Студий (34, 34.1 м²)  
- 5 Евродвушек (от 44.6 м² до 55.1 м²)  
- 5 Евротрешек (66.2 до 97 м²)  
</v>
      </c>
      <c r="M61" s="20" t="str">
        <f ca="1">IFERROR(__xludf.DUMMYFUNCTION("""COMPUTED_VALUE"""),"4 квартал")</f>
        <v>4 квартал</v>
      </c>
      <c r="N61" s="21">
        <f ca="1">IFERROR(__xludf.DUMMYFUNCTION("""COMPUTED_VALUE"""),2028)</f>
        <v>2028</v>
      </c>
      <c r="O61" s="18" t="str">
        <f ca="1">IFERROR(__xludf.DUMMYFUNCTION("""COMPUTED_VALUE"""),"WF 150 $, 500 долл (без мебели, но с техникой)")</f>
        <v>WF 150 $, 500 долл (без мебели, но с техникой)</v>
      </c>
      <c r="P61" s="23" t="str">
        <f ca="1">IFERROR(__xludf.DUMMYFUNCTION("""COMPUTED_VALUE"""),"полностью оплачивается")</f>
        <v>полностью оплачивается</v>
      </c>
      <c r="Q61" s="18"/>
      <c r="R61" s="24" t="str">
        <f ca="1">IFERROR(__xludf.DUMMYFUNCTION("""COMPUTED_VALUE"""),"Батуми")</f>
        <v>Батуми</v>
      </c>
      <c r="S61" s="18" t="str">
        <f ca="1">IFERROR(__xludf.DUMMYFUNCTION("""COMPUTED_VALUE"""),"1070$")</f>
        <v>1070$</v>
      </c>
      <c r="T61" s="31">
        <f ca="1">IFERROR(__xludf.DUMMYFUNCTION("""COMPUTED_VALUE"""),27)</f>
        <v>27</v>
      </c>
      <c r="U61" s="23" t="str">
        <f ca="1">IFERROR(__xludf.DUMMYFUNCTION("""COMPUTED_VALUE"""),"нет")</f>
        <v>нет</v>
      </c>
      <c r="V61" s="19" t="str">
        <f ca="1">IFERROR(__xludf.DUMMYFUNCTION("""COMPUTED_VALUE"""),"Ссылка")</f>
        <v>Ссылка</v>
      </c>
      <c r="W61" s="18"/>
      <c r="X61" s="20" t="str">
        <f ca="1">IFERROR(__xludf.DUMMYFUNCTION("""COMPUTED_VALUE"""),"995 599399656 Марина")</f>
        <v>995 599399656 Марина</v>
      </c>
      <c r="Y61" s="26">
        <f ca="1">IFERROR(__xludf.DUMMYFUNCTION("""COMPUTED_VALUE"""),0.042)</f>
        <v>4.2000000000000003E-2</v>
      </c>
      <c r="Z61" s="27">
        <f ca="1">IFERROR(__xludf.DUMMYFUNCTION("""COMPUTED_VALUE"""),0.05)</f>
        <v>0.05</v>
      </c>
      <c r="AA61" s="28"/>
      <c r="AB61" s="28"/>
      <c r="AC61" s="28"/>
      <c r="AD61" s="28"/>
      <c r="AE61" s="28"/>
      <c r="AF61" s="28"/>
      <c r="AG61" s="28"/>
      <c r="AH61" s="28"/>
      <c r="AI61" s="28"/>
      <c r="AJ61" s="28"/>
    </row>
    <row r="62" spans="1:36" ht="90.75" thickBot="1" x14ac:dyDescent="0.3">
      <c r="A62" s="17" t="str">
        <f ca="1">IFERROR(__xludf.DUMMYFUNCTION("""COMPUTED_VALUE"""),"AB DEVELOPMENT LLC")</f>
        <v>AB DEVELOPMENT LLC</v>
      </c>
      <c r="B62" s="18" t="str">
        <f ca="1">IFERROR(__xludf.DUMMYFUNCTION("""COMPUTED_VALUE"""),"History")</f>
        <v>History</v>
      </c>
      <c r="C62" s="18" t="str">
        <f ca="1">IFERROR(__xludf.DUMMYFUNCTION("""COMPUTED_VALUE"""),"2 большие квартиры: 20%-40%-40%
Остальные: 20%-60%-20%
Рассрочка дольше графика строительства - 44 месяца 
Скидки и условия лучше смотреть в шахматке (красным цветом)")</f>
        <v>2 большие квартиры: 20%-40%-40%
Остальные: 20%-60%-20%
Рассрочка дольше графика строительства - 44 месяца 
Скидки и условия лучше смотреть в шахматке (красным цветом)</v>
      </c>
      <c r="D62" s="18" t="str">
        <f ca="1">IFERROR(__xludf.DUMMYFUNCTION("""COMPUTED_VALUE"""),"ПВ 30% - 100% комиссии")</f>
        <v>ПВ 30% - 100% комиссии</v>
      </c>
      <c r="E62" s="19" t="str">
        <f ca="1">IFERROR(__xludf.DUMMYFUNCTION("""COMPUTED_VALUE"""),"Ссылка")</f>
        <v>Ссылка</v>
      </c>
      <c r="F62" s="19" t="str">
        <f ca="1">IFERROR(__xludf.DUMMYFUNCTION("""COMPUTED_VALUE"""),"Ссылка")</f>
        <v>Ссылка</v>
      </c>
      <c r="G62" s="19" t="str">
        <f ca="1">IFERROR(__xludf.DUMMYFUNCTION("""COMPUTED_VALUE"""),"Ссылка")</f>
        <v>Ссылка</v>
      </c>
      <c r="H62" s="19" t="str">
        <f ca="1">IFERROR(__xludf.DUMMYFUNCTION("""COMPUTED_VALUE"""),"Ссылка")</f>
        <v>Ссылка</v>
      </c>
      <c r="I62" s="19" t="str">
        <f ca="1">IFERROR(__xludf.DUMMYFUNCTION("""COMPUTED_VALUE"""),"Ссылка")</f>
        <v>Ссылка</v>
      </c>
      <c r="J62" s="18" t="str">
        <f ca="1">IFERROR(__xludf.DUMMYFUNCTION("""COMPUTED_VALUE"""),"BF")</f>
        <v>BF</v>
      </c>
      <c r="K62" s="18" t="str">
        <f ca="1">IFERROR(__xludf.DUMMYFUNCTION("""COMPUTED_VALUE"""),"Жилой ")</f>
        <v xml:space="preserve">Жилой </v>
      </c>
      <c r="L62" s="18" t="str">
        <f ca="1">IFERROR(__xludf.DUMMYFUNCTION("""COMPUTED_VALUE"""),"35,9-97,2")</f>
        <v>35,9-97,2</v>
      </c>
      <c r="M62" s="20" t="str">
        <f ca="1">IFERROR(__xludf.DUMMYFUNCTION("""COMPUTED_VALUE"""),"4 квартал")</f>
        <v>4 квартал</v>
      </c>
      <c r="N62" s="21">
        <f ca="1">IFERROR(__xludf.DUMMYFUNCTION("""COMPUTED_VALUE"""),2028)</f>
        <v>2028</v>
      </c>
      <c r="O62" s="18" t="str">
        <f ca="1">IFERROR(__xludf.DUMMYFUNCTION("""COMPUTED_VALUE"""),"WF 150 $, с ремонтом и кухней 450 $, под ключ 750 $")</f>
        <v>WF 150 $, с ремонтом и кухней 450 $, под ключ 750 $</v>
      </c>
      <c r="P62" s="23" t="str">
        <f ca="1">IFERROR(__xludf.DUMMYFUNCTION("""COMPUTED_VALUE"""),"полностью оплачивается")</f>
        <v>полностью оплачивается</v>
      </c>
      <c r="Q62" s="18"/>
      <c r="R62" s="24" t="str">
        <f ca="1">IFERROR(__xludf.DUMMYFUNCTION("""COMPUTED_VALUE"""),"Батуми")</f>
        <v>Батуми</v>
      </c>
      <c r="S62" s="29" t="str">
        <f ca="1">IFERROR(__xludf.DUMMYFUNCTION("""COMPUTED_VALUE"""),"1180$")</f>
        <v>1180$</v>
      </c>
      <c r="T62" s="25" t="str">
        <f ca="1">IFERROR(__xludf.DUMMYFUNCTION("""COMPUTED_VALUE"""),"25 (23 жилые)")</f>
        <v>25 (23 жилые)</v>
      </c>
      <c r="U62" s="23" t="str">
        <f ca="1">IFERROR(__xludf.DUMMYFUNCTION("""COMPUTED_VALUE"""),"нет")</f>
        <v>нет</v>
      </c>
      <c r="V62" s="19" t="str">
        <f ca="1">IFERROR(__xludf.DUMMYFUNCTION("""COMPUTED_VALUE"""),"Ссылка")</f>
        <v>Ссылка</v>
      </c>
      <c r="W62" s="18"/>
      <c r="X62" s="20" t="str">
        <f ca="1">IFERROR(__xludf.DUMMYFUNCTION("""COMPUTED_VALUE"""),"995 599399656 Марина")</f>
        <v>995 599399656 Марина</v>
      </c>
      <c r="Y62" s="26" t="str">
        <f ca="1">IFERROR(__xludf.DUMMYFUNCTION("""COMPUTED_VALUE"""),"4.2%")</f>
        <v>4.2%</v>
      </c>
      <c r="Z62" s="27">
        <f ca="1">IFERROR(__xludf.DUMMYFUNCTION("""COMPUTED_VALUE"""),0.05)</f>
        <v>0.05</v>
      </c>
      <c r="AA62" s="28"/>
      <c r="AB62" s="28"/>
      <c r="AC62" s="28"/>
      <c r="AD62" s="28"/>
      <c r="AE62" s="28"/>
      <c r="AF62" s="28"/>
      <c r="AG62" s="28"/>
      <c r="AH62" s="28"/>
      <c r="AI62" s="28"/>
      <c r="AJ62" s="28"/>
    </row>
    <row r="63" spans="1:36" ht="120.75" thickBot="1" x14ac:dyDescent="0.3">
      <c r="A63" s="17" t="str">
        <f ca="1">IFERROR(__xludf.DUMMYFUNCTION("""COMPUTED_VALUE"""),"URBANI  DEVELOPMENT  LLC")</f>
        <v>URBANI  DEVELOPMENT  LLC</v>
      </c>
      <c r="B63" s="18" t="str">
        <f ca="1">IFERROR(__xludf.DUMMYFUNCTION("""COMPUTED_VALUE"""),"Silver Point")</f>
        <v>Silver Point</v>
      </c>
      <c r="C63" s="18" t="str">
        <f ca="1">IFERROR(__xludf.DUMMYFUNCTION("""COMPUTED_VALUE"""),"ПВ 10%, 40% до мая 2028, 50% на финал. Продаем только блог G. Скидки и условия лучше смотреть в шахматке (красным цветом)")</f>
        <v>ПВ 10%, 40% до мая 2028, 50% на финал. Продаем только блог G. Скидки и условия лучше смотреть в шахматке (красным цветом)</v>
      </c>
      <c r="D63" s="18" t="str">
        <f ca="1">IFERROR(__xludf.DUMMYFUNCTION("""COMPUTED_VALUE"""),"ПВ 20% - 100% комиссии")</f>
        <v>ПВ 20% - 100% комиссии</v>
      </c>
      <c r="E63" s="19" t="str">
        <f ca="1">IFERROR(__xludf.DUMMYFUNCTION("""COMPUTED_VALUE"""),"Ссылка")</f>
        <v>Ссылка</v>
      </c>
      <c r="F63" s="19" t="str">
        <f ca="1">IFERROR(__xludf.DUMMYFUNCTION("""COMPUTED_VALUE"""),"Ссылка")</f>
        <v>Ссылка</v>
      </c>
      <c r="G63" s="19" t="str">
        <f ca="1">IFERROR(__xludf.DUMMYFUNCTION("""COMPUTED_VALUE"""),"Cсылка")</f>
        <v>Cсылка</v>
      </c>
      <c r="H63" s="19" t="str">
        <f ca="1">IFERROR(__xludf.DUMMYFUNCTION("""COMPUTED_VALUE"""),"Ссылка")</f>
        <v>Ссылка</v>
      </c>
      <c r="I63" s="19" t="str">
        <f ca="1">IFERROR(__xludf.DUMMYFUNCTION("""COMPUTED_VALUE"""),"Ссылка")</f>
        <v>Ссылка</v>
      </c>
      <c r="J63" s="18" t="str">
        <f ca="1">IFERROR(__xludf.DUMMYFUNCTION("""COMPUTED_VALUE"""),"BF")</f>
        <v>BF</v>
      </c>
      <c r="K63" s="18" t="str">
        <f ca="1">IFERROR(__xludf.DUMMYFUNCTION("""COMPUTED_VALUE"""),"Жилой ")</f>
        <v xml:space="preserve">Жилой </v>
      </c>
      <c r="L63" s="18" t="str">
        <f ca="1">IFERROR(__xludf.DUMMYFUNCTION("""COMPUTED_VALUE"""),"23,8-68,2")</f>
        <v>23,8-68,2</v>
      </c>
      <c r="M63" s="20" t="str">
        <f ca="1">IFERROR(__xludf.DUMMYFUNCTION("""COMPUTED_VALUE"""),"3 квартал")</f>
        <v>3 квартал</v>
      </c>
      <c r="N63" s="21">
        <f ca="1">IFERROR(__xludf.DUMMYFUNCTION("""COMPUTED_VALUE"""),2028)</f>
        <v>2028</v>
      </c>
      <c r="O63" s="22" t="str">
        <f ca="1">IFERROR(__xludf.DUMMYFUNCTION("""COMPUTED_VALUE"""),"WF зависит от площади 150 или 200 долларов, премиум ремонт - 450 $, под ключ 700$")</f>
        <v>WF зависит от площади 150 или 200 долларов, премиум ремонт - 450 $, под ключ 700$</v>
      </c>
      <c r="P63" s="23" t="str">
        <f ca="1">IFERROR(__xludf.DUMMYFUNCTION("""COMPUTED_VALUE"""),"полностью оплачивается")</f>
        <v>полностью оплачивается</v>
      </c>
      <c r="Q63" s="18"/>
      <c r="R63" s="24" t="str">
        <f ca="1">IFERROR(__xludf.DUMMYFUNCTION("""COMPUTED_VALUE"""),"Батуми")</f>
        <v>Батуми</v>
      </c>
      <c r="S63" s="29" t="str">
        <f ca="1">IFERROR(__xludf.DUMMYFUNCTION("""COMPUTED_VALUE"""),"1600$")</f>
        <v>1600$</v>
      </c>
      <c r="T63" s="25">
        <f ca="1">IFERROR(__xludf.DUMMYFUNCTION("""COMPUTED_VALUE"""),12)</f>
        <v>12</v>
      </c>
      <c r="U63" s="23" t="str">
        <f ca="1">IFERROR(__xludf.DUMMYFUNCTION("""COMPUTED_VALUE"""),"нет")</f>
        <v>нет</v>
      </c>
      <c r="V63" s="19" t="str">
        <f ca="1">IFERROR(__xludf.DUMMYFUNCTION("""COMPUTED_VALUE"""),"Ссылка")</f>
        <v>Ссылка</v>
      </c>
      <c r="W63" s="18"/>
      <c r="X63" s="20" t="str">
        <f ca="1">IFERROR(__xludf.DUMMYFUNCTION("""COMPUTED_VALUE"""),"995 599399656 Марина")</f>
        <v>995 599399656 Марина</v>
      </c>
      <c r="Y63" s="26" t="str">
        <f ca="1">IFERROR(__xludf.DUMMYFUNCTION("""COMPUTED_VALUE"""),"4.2%")</f>
        <v>4.2%</v>
      </c>
      <c r="Z63" s="27">
        <f ca="1">IFERROR(__xludf.DUMMYFUNCTION("""COMPUTED_VALUE"""),0.05)</f>
        <v>0.05</v>
      </c>
      <c r="AA63" s="28"/>
      <c r="AB63" s="28"/>
      <c r="AC63" s="28"/>
      <c r="AD63" s="28"/>
      <c r="AE63" s="28"/>
      <c r="AF63" s="28"/>
      <c r="AG63" s="28"/>
      <c r="AH63" s="28"/>
      <c r="AI63" s="28"/>
      <c r="AJ63" s="28"/>
    </row>
    <row r="64" spans="1:36" ht="300.75" thickBot="1" x14ac:dyDescent="0.3">
      <c r="A64" s="17" t="str">
        <f ca="1">IFERROR(__xludf.DUMMYFUNCTION("""COMPUTED_VALUE"""),"PROCESS GROUP")</f>
        <v>PROCESS GROUP</v>
      </c>
      <c r="B64" s="18" t="str">
        <f ca="1">IFERROR(__xludf.DUMMYFUNCTION("""COMPUTED_VALUE"""),"Orbeliani Residence")</f>
        <v>Orbeliani Residence</v>
      </c>
      <c r="C64" s="18" t="str">
        <f ca="1">IFERROR(__xludf.DUMMYFUNCTION("""COMPUTED_VALUE"""),"1) Первоначальный взнос 15%
* Внутренняя рассрочка: 20 месяцев, без процентов
* Минимальный ежемесячный платёж: 1000 $
* Скидка: 0 $
2) Первоначальный взнос 30%
* Внутренняя рассрочка: 20 месяцев, без процентов
* Минимальный ежемесячный платёж: 750 $
* С"&amp;"кидка: –10 $ / м²
3) Первоначальный взнос 50%
* Внутренняя рассрочка: 20 месяцев, без процентов
* Минимальный ежемесячный платёж: 500 $
* Скидка: –30 $ / м²
4) 100% оплата
* Скидка: –50 $ / м²")</f>
        <v>1) Первоначальный взнос 15%
* Внутренняя рассрочка: 20 месяцев, без процентов
* Минимальный ежемесячный платёж: 1000 $
* Скидка: 0 $
2) Первоначальный взнос 30%
* Внутренняя рассрочка: 20 месяцев, без процентов
* Минимальный ежемесячный платёж: 750 $
* Скидка: –10 $ / м²
3) Первоначальный взнос 50%
* Внутренняя рассрочка: 20 месяцев, без процентов
* Минимальный ежемесячный платёж: 500 $
* Скидка: –30 $ / м²
4) 100% оплата
* Скидка: –50 $ / м²</v>
      </c>
      <c r="D64" s="18" t="str">
        <f ca="1">IFERROR(__xludf.DUMMYFUNCTION("""COMPUTED_VALUE"""),"ПВ 30% - комиссия 100%")</f>
        <v>ПВ 30% - комиссия 100%</v>
      </c>
      <c r="E64" s="18" t="str">
        <f ca="1">IFERROR(__xludf.DUMMYFUNCTION("""COMPUTED_VALUE"""),"-")</f>
        <v>-</v>
      </c>
      <c r="F64" s="19" t="str">
        <f ca="1">IFERROR(__xludf.DUMMYFUNCTION("""COMPUTED_VALUE"""),"Ссылка")</f>
        <v>Ссылка</v>
      </c>
      <c r="G64" s="19" t="str">
        <f ca="1">IFERROR(__xludf.DUMMYFUNCTION("""COMPUTED_VALUE"""),"Ссылка")</f>
        <v>Ссылка</v>
      </c>
      <c r="H64" s="19" t="str">
        <f ca="1">IFERROR(__xludf.DUMMYFUNCTION("""COMPUTED_VALUE"""),"Ссылка")</f>
        <v>Ссылка</v>
      </c>
      <c r="I64" s="19" t="str">
        <f ca="1">IFERROR(__xludf.DUMMYFUNCTION("""COMPUTED_VALUE"""),"Ссылка")</f>
        <v>Ссылка</v>
      </c>
      <c r="J64" s="18" t="str">
        <f ca="1">IFERROR(__xludf.DUMMYFUNCTION("""COMPUTED_VALUE"""),"BF")</f>
        <v>BF</v>
      </c>
      <c r="K64" s="18" t="str">
        <f ca="1">IFERROR(__xludf.DUMMYFUNCTION("""COMPUTED_VALUE"""),"Жилой")</f>
        <v>Жилой</v>
      </c>
      <c r="L64" s="18" t="str">
        <f ca="1">IFERROR(__xludf.DUMMYFUNCTION("""COMPUTED_VALUE"""),"31,7 - 100")</f>
        <v>31,7 - 100</v>
      </c>
      <c r="M64" s="20" t="str">
        <f ca="1">IFERROR(__xludf.DUMMYFUNCTION("""COMPUTED_VALUE"""),"4 кварттал")</f>
        <v>4 кварттал</v>
      </c>
      <c r="N64" s="21">
        <f ca="1">IFERROR(__xludf.DUMMYFUNCTION("""COMPUTED_VALUE"""),2026)</f>
        <v>2026</v>
      </c>
      <c r="O64" s="22" t="str">
        <f ca="1">IFERROR(__xludf.DUMMYFUNCTION("""COMPUTED_VALUE"""),"-")</f>
        <v>-</v>
      </c>
      <c r="P64" s="23" t="str">
        <f ca="1">IFERROR(__xludf.DUMMYFUNCTION("""COMPUTED_VALUE"""),"-")</f>
        <v>-</v>
      </c>
      <c r="Q64" s="18"/>
      <c r="R64" s="24" t="str">
        <f ca="1">IFERROR(__xludf.DUMMYFUNCTION("""COMPUTED_VALUE"""),"Батуми")</f>
        <v>Батуми</v>
      </c>
      <c r="S64" s="38">
        <f ca="1">IFERROR(__xludf.DUMMYFUNCTION("""COMPUTED_VALUE"""),900)</f>
        <v>900</v>
      </c>
      <c r="T64" s="25">
        <f ca="1">IFERROR(__xludf.DUMMYFUNCTION("""COMPUTED_VALUE"""),10)</f>
        <v>10</v>
      </c>
      <c r="U64" s="23" t="str">
        <f ca="1">IFERROR(__xludf.DUMMYFUNCTION("""COMPUTED_VALUE"""),"нет")</f>
        <v>нет</v>
      </c>
      <c r="V64" s="19" t="str">
        <f ca="1">IFERROR(__xludf.DUMMYFUNCTION("""COMPUTED_VALUE"""),"Cсылка")</f>
        <v>Cсылка</v>
      </c>
      <c r="W64" s="18"/>
      <c r="X64" s="20" t="str">
        <f ca="1">IFERROR(__xludf.DUMMYFUNCTION("""COMPUTED_VALUE"""),"995 511 44 44 02 Нукри")</f>
        <v>995 511 44 44 02 Нукри</v>
      </c>
      <c r="Y64" s="26">
        <f ca="1">IFERROR(__xludf.DUMMYFUNCTION("""COMPUTED_VALUE"""),0.05)</f>
        <v>0.05</v>
      </c>
      <c r="Z64" s="27">
        <f ca="1">IFERROR(__xludf.DUMMYFUNCTION("""COMPUTED_VALUE"""),0.059)</f>
        <v>5.8999999999999997E-2</v>
      </c>
      <c r="AA64" s="28"/>
      <c r="AB64" s="28"/>
      <c r="AC64" s="28"/>
      <c r="AD64" s="28"/>
      <c r="AE64" s="28"/>
      <c r="AF64" s="28"/>
      <c r="AG64" s="28"/>
      <c r="AH64" s="28"/>
      <c r="AI64" s="28"/>
      <c r="AJ64" s="28"/>
    </row>
    <row r="65" spans="1:36" ht="135.75" thickBot="1" x14ac:dyDescent="0.3">
      <c r="A65" s="17" t="str">
        <f ca="1">IFERROR(__xludf.DUMMYFUNCTION("""COMPUTED_VALUE"""),"VR HOLDING")</f>
        <v>VR HOLDING</v>
      </c>
      <c r="B65" s="18" t="str">
        <f ca="1">IFERROR(__xludf.DUMMYFUNCTION("""COMPUTED_VALUE"""),"Shekvetili Forest Beach")</f>
        <v>Shekvetili Forest Beach</v>
      </c>
      <c r="C65" s="19" t="str">
        <f ca="1">IFERROR(__xludf.DUMMYFUNCTION("""COMPUTED_VALUE"""),"Ссылка")</f>
        <v>Ссылка</v>
      </c>
      <c r="D65" s="18" t="str">
        <f ca="1">IFERROR(__xludf.DUMMYFUNCTION("""COMPUTED_VALUE"""),"ПВ 30% - 100% оплата")</f>
        <v>ПВ 30% - 100% оплата</v>
      </c>
      <c r="E65" s="19" t="str">
        <f ca="1">IFERROR(__xludf.DUMMYFUNCTION("""COMPUTED_VALUE"""),"Ссылка")</f>
        <v>Ссылка</v>
      </c>
      <c r="F65" s="19" t="str">
        <f ca="1">IFERROR(__xludf.DUMMYFUNCTION("""COMPUTED_VALUE"""),"Ссылка")</f>
        <v>Ссылка</v>
      </c>
      <c r="G65" s="19" t="str">
        <f ca="1">IFERROR(__xludf.DUMMYFUNCTION("""COMPUTED_VALUE"""),"Ссылка")</f>
        <v>Ссылка</v>
      </c>
      <c r="H65" s="19" t="str">
        <f ca="1">IFERROR(__xludf.DUMMYFUNCTION("""COMPUTED_VALUE"""),"Яндекс")</f>
        <v>Яндекс</v>
      </c>
      <c r="I65" s="19" t="str">
        <f ca="1">IFERROR(__xludf.DUMMYFUNCTION("""COMPUTED_VALUE"""),"Ссылка")</f>
        <v>Ссылка</v>
      </c>
      <c r="J65" s="18" t="str">
        <f ca="1">IFERROR(__xludf.DUMMYFUNCTION("""COMPUTED_VALUE"""),"Turnkey")</f>
        <v>Turnkey</v>
      </c>
      <c r="K65" s="18" t="str">
        <f ca="1">IFERROR(__xludf.DUMMYFUNCTION("""COMPUTED_VALUE"""),"Апартаменты")</f>
        <v>Апартаменты</v>
      </c>
      <c r="L65" s="18" t="str">
        <f ca="1">IFERROR(__xludf.DUMMYFUNCTION("""COMPUTED_VALUE"""),"37-166")</f>
        <v>37-166</v>
      </c>
      <c r="M65" s="20" t="str">
        <f ca="1">IFERROR(__xludf.DUMMYFUNCTION("""COMPUTED_VALUE"""),"-")</f>
        <v>-</v>
      </c>
      <c r="N65" s="21" t="str">
        <f ca="1">IFERROR(__xludf.DUMMYFUNCTION("""COMPUTED_VALUE"""),"блок A;B2  — август 2027 года; 
блок B1  — декабрь 2027 года; 
блок C  — декабрь 2028 года.")</f>
        <v>блок A;B2  — август 2027 года; 
блок B1  — декабрь 2027 года; 
блок C  — декабрь 2028 года.</v>
      </c>
      <c r="O65" s="22" t="str">
        <f ca="1">IFERROR(__xludf.DUMMYFUNCTION("""COMPUTED_VALUE"""),"turnkey 800$")</f>
        <v>turnkey 800$</v>
      </c>
      <c r="P65" s="23" t="str">
        <f ca="1">IFERROR(__xludf.DUMMYFUNCTION("""COMPUTED_VALUE"""),"полностью оплачивается (если вместе покупать)")</f>
        <v>полностью оплачивается (если вместе покупать)</v>
      </c>
      <c r="Q65" s="18"/>
      <c r="R65" s="24" t="str">
        <f ca="1">IFERROR(__xludf.DUMMYFUNCTION("""COMPUTED_VALUE"""),"Шекветили")</f>
        <v>Шекветили</v>
      </c>
      <c r="S65" s="38" t="str">
        <f ca="1">IFERROR(__xludf.DUMMYFUNCTION("""COMPUTED_VALUE"""),"1086$")</f>
        <v>1086$</v>
      </c>
      <c r="T65" s="25">
        <f ca="1">IFERROR(__xludf.DUMMYFUNCTION("""COMPUTED_VALUE"""),10)</f>
        <v>10</v>
      </c>
      <c r="U65" s="23" t="str">
        <f ca="1">IFERROR(__xludf.DUMMYFUNCTION("""COMPUTED_VALUE"""),"нет")</f>
        <v>нет</v>
      </c>
      <c r="V65" s="18" t="str">
        <f ca="1">IFERROR(__xludf.DUMMYFUNCTION("""COMPUTED_VALUE"""),"-")</f>
        <v>-</v>
      </c>
      <c r="W65" s="18"/>
      <c r="X65" s="20" t="str">
        <f ca="1">IFERROR(__xludf.DUMMYFUNCTION("""COMPUTED_VALUE"""),"995599261111 Отдел продаж, Ануки
+995 598 26 11 11")</f>
        <v>995599261111 Отдел продаж, Ануки
+995 598 26 11 11</v>
      </c>
      <c r="Y65" s="26">
        <f ca="1">IFERROR(__xludf.DUMMYFUNCTION("""COMPUTED_VALUE"""),0.05)</f>
        <v>0.05</v>
      </c>
      <c r="Z65" s="27">
        <f ca="1">IFERROR(__xludf.DUMMYFUNCTION("""COMPUTED_VALUE"""),0.059)</f>
        <v>5.8999999999999997E-2</v>
      </c>
      <c r="AA65" s="28"/>
      <c r="AB65" s="28"/>
      <c r="AC65" s="28"/>
      <c r="AD65" s="28"/>
      <c r="AE65" s="28"/>
      <c r="AF65" s="28"/>
      <c r="AG65" s="28"/>
      <c r="AH65" s="28"/>
      <c r="AI65" s="28"/>
      <c r="AJ65" s="28"/>
    </row>
    <row r="66" spans="1:36" ht="105.75" thickBot="1" x14ac:dyDescent="0.3">
      <c r="A66" s="17" t="str">
        <f ca="1">IFERROR(__xludf.DUMMYFUNCTION("""COMPUTED_VALUE"""),"ANDE")</f>
        <v>ANDE</v>
      </c>
      <c r="B66" s="18" t="str">
        <f ca="1">IFERROR(__xludf.DUMMYFUNCTION("""COMPUTED_VALUE"""),"Metropole")</f>
        <v>Metropole</v>
      </c>
      <c r="C66" s="18" t="str">
        <f ca="1">IFERROR(__xludf.DUMMYFUNCTION("""COMPUTED_VALUE"""),"Рассрочка на 4 года, ПВ 20%.")</f>
        <v>Рассрочка на 4 года, ПВ 20%.</v>
      </c>
      <c r="D66" s="18" t="str">
        <f ca="1">IFERROR(__xludf.DUMMYFUNCTION("""COMPUTED_VALUE"""),"ПВ 20% - 100% комиссии")</f>
        <v>ПВ 20% - 100% комиссии</v>
      </c>
      <c r="E66" s="19" t="str">
        <f ca="1">IFERROR(__xludf.DUMMYFUNCTION("""COMPUTED_VALUE"""),"Ссылка")</f>
        <v>Ссылка</v>
      </c>
      <c r="F66" s="19" t="str">
        <f ca="1">IFERROR(__xludf.DUMMYFUNCTION("""COMPUTED_VALUE"""),"Ссылка")</f>
        <v>Ссылка</v>
      </c>
      <c r="G66" s="19" t="str">
        <f ca="1">IFERROR(__xludf.DUMMYFUNCTION("""COMPUTED_VALUE"""),"Ссылка")</f>
        <v>Ссылка</v>
      </c>
      <c r="H66" s="19" t="str">
        <f ca="1">IFERROR(__xludf.DUMMYFUNCTION("""COMPUTED_VALUE"""),"Ссылка")</f>
        <v>Ссылка</v>
      </c>
      <c r="I66" s="19" t="str">
        <f ca="1">IFERROR(__xludf.DUMMYFUNCTION("""COMPUTED_VALUE"""),"Ссылка")</f>
        <v>Ссылка</v>
      </c>
      <c r="J66" s="18" t="str">
        <f ca="1">IFERROR(__xludf.DUMMYFUNCTION("""COMPUTED_VALUE"""),"WF")</f>
        <v>WF</v>
      </c>
      <c r="K66" s="18" t="str">
        <f ca="1">IFERROR(__xludf.DUMMYFUNCTION("""COMPUTED_VALUE"""),"Жилой")</f>
        <v>Жилой</v>
      </c>
      <c r="L66" s="18" t="str">
        <f ca="1">IFERROR(__xludf.DUMMYFUNCTION("""COMPUTED_VALUE"""),"36–123 м2")</f>
        <v>36–123 м2</v>
      </c>
      <c r="M66" s="20" t="str">
        <f ca="1">IFERROR(__xludf.DUMMYFUNCTION("""COMPUTED_VALUE"""),"4 кварттал")</f>
        <v>4 кварттал</v>
      </c>
      <c r="N66" s="21">
        <f ca="1">IFERROR(__xludf.DUMMYFUNCTION("""COMPUTED_VALUE"""),2028)</f>
        <v>2028</v>
      </c>
      <c r="O66" s="22" t="str">
        <f ca="1">IFERROR(__xludf.DUMMYFUNCTION("""COMPUTED_VALUE"""),"turnkey 600$, 400$ без мебели и техники. ПВ 20% рассрочка на 4 года.  ")</f>
        <v xml:space="preserve">turnkey 600$, 400$ без мебели и техники. ПВ 20% рассрочка на 4 года.  </v>
      </c>
      <c r="P66" s="23" t="str">
        <f ca="1">IFERROR(__xludf.DUMMYFUNCTION("""COMPUTED_VALUE"""),"полностью оплачивается")</f>
        <v>полностью оплачивается</v>
      </c>
      <c r="Q66" s="18"/>
      <c r="R66" s="24" t="str">
        <f ca="1">IFERROR(__xludf.DUMMYFUNCTION("""COMPUTED_VALUE"""),"Батуми")</f>
        <v>Батуми</v>
      </c>
      <c r="S66" s="38">
        <f ca="1">IFERROR(__xludf.DUMMYFUNCTION("""COMPUTED_VALUE"""),1150)</f>
        <v>1150</v>
      </c>
      <c r="T66" s="25">
        <f ca="1">IFERROR(__xludf.DUMMYFUNCTION("""COMPUTED_VALUE"""),22)</f>
        <v>22</v>
      </c>
      <c r="U66" s="23" t="str">
        <f ca="1">IFERROR(__xludf.DUMMYFUNCTION("""COMPUTED_VALUE"""),"нет")</f>
        <v>нет</v>
      </c>
      <c r="V66" s="18" t="str">
        <f ca="1">IFERROR(__xludf.DUMMYFUNCTION("""COMPUTED_VALUE"""),"-")</f>
        <v>-</v>
      </c>
      <c r="W66" s="18"/>
      <c r="X66" s="20" t="str">
        <f ca="1">IFERROR(__xludf.DUMMYFUNCTION("""COMPUTED_VALUE"""),"995 597 54 70 07 Кристина")</f>
        <v>995 597 54 70 07 Кристина</v>
      </c>
      <c r="Y66" s="26">
        <f ca="1">IFERROR(__xludf.DUMMYFUNCTION("""COMPUTED_VALUE"""),0.032)</f>
        <v>3.2000000000000001E-2</v>
      </c>
      <c r="Z66" s="27">
        <f ca="1">IFERROR(__xludf.DUMMYFUNCTION("""COMPUTED_VALUE"""),0.038)</f>
        <v>3.7999999999999999E-2</v>
      </c>
      <c r="AA66" s="28"/>
      <c r="AB66" s="28"/>
      <c r="AC66" s="28"/>
      <c r="AD66" s="28"/>
      <c r="AE66" s="28"/>
      <c r="AF66" s="28"/>
      <c r="AG66" s="28"/>
      <c r="AH66" s="28"/>
      <c r="AI66" s="28"/>
      <c r="AJ66" s="28"/>
    </row>
    <row r="67" spans="1:36" ht="60.75" thickBot="1" x14ac:dyDescent="0.3">
      <c r="A67" s="17" t="str">
        <f ca="1">IFERROR(__xludf.DUMMYFUNCTION("""COMPUTED_VALUE"""),"ANDE")</f>
        <v>ANDE</v>
      </c>
      <c r="B67" s="18" t="str">
        <f ca="1">IFERROR(__xludf.DUMMYFUNCTION("""COMPUTED_VALUE"""),"Ande Tower")</f>
        <v>Ande Tower</v>
      </c>
      <c r="C67" s="18" t="str">
        <f ca="1">IFERROR(__xludf.DUMMYFUNCTION("""COMPUTED_VALUE"""),"100% оплата")</f>
        <v>100% оплата</v>
      </c>
      <c r="D67" s="18" t="str">
        <f ca="1">IFERROR(__xludf.DUMMYFUNCTION("""COMPUTED_VALUE"""),"100% оплата - 100% комиссии")</f>
        <v>100% оплата - 100% комиссии</v>
      </c>
      <c r="E67" s="18" t="str">
        <f ca="1">IFERROR(__xludf.DUMMYFUNCTION("""COMPUTED_VALUE"""),"-")</f>
        <v>-</v>
      </c>
      <c r="F67" s="19" t="str">
        <f ca="1">IFERROR(__xludf.DUMMYFUNCTION("""COMPUTED_VALUE"""),"Ссылка")</f>
        <v>Ссылка</v>
      </c>
      <c r="G67" s="19" t="str">
        <f ca="1">IFERROR(__xludf.DUMMYFUNCTION("""COMPUTED_VALUE"""),"Ссылка")</f>
        <v>Ссылка</v>
      </c>
      <c r="H67" s="19" t="str">
        <f ca="1">IFERROR(__xludf.DUMMYFUNCTION("""COMPUTED_VALUE"""),"Ссылка")</f>
        <v>Ссылка</v>
      </c>
      <c r="I67" s="19" t="str">
        <f ca="1">IFERROR(__xludf.DUMMYFUNCTION("""COMPUTED_VALUE"""),"Ссылка")</f>
        <v>Ссылка</v>
      </c>
      <c r="J67" s="18" t="str">
        <f ca="1">IFERROR(__xludf.DUMMYFUNCTION("""COMPUTED_VALUE"""),"WF")</f>
        <v>WF</v>
      </c>
      <c r="K67" s="18" t="str">
        <f ca="1">IFERROR(__xludf.DUMMYFUNCTION("""COMPUTED_VALUE"""),"Жилой")</f>
        <v>Жилой</v>
      </c>
      <c r="L67" s="18" t="str">
        <f ca="1">IFERROR(__xludf.DUMMYFUNCTION("""COMPUTED_VALUE"""),"27–73 м2")</f>
        <v>27–73 м2</v>
      </c>
      <c r="M67" s="20" t="str">
        <f ca="1">IFERROR(__xludf.DUMMYFUNCTION("""COMPUTED_VALUE"""),"-")</f>
        <v>-</v>
      </c>
      <c r="N67" s="21" t="str">
        <f ca="1">IFERROR(__xludf.DUMMYFUNCTION("""COMPUTED_VALUE"""),"готов")</f>
        <v>готов</v>
      </c>
      <c r="O67" s="22" t="str">
        <f ca="1">IFERROR(__xludf.DUMMYFUNCTION("""COMPUTED_VALUE"""),"turnkey 600$, 400$ без мебели и техники. ")</f>
        <v xml:space="preserve">turnkey 600$, 400$ без мебели и техники. </v>
      </c>
      <c r="P67" s="23" t="str">
        <f ca="1">IFERROR(__xludf.DUMMYFUNCTION("""COMPUTED_VALUE"""),"полностью оплачивается")</f>
        <v>полностью оплачивается</v>
      </c>
      <c r="Q67" s="18"/>
      <c r="R67" s="24" t="str">
        <f ca="1">IFERROR(__xludf.DUMMYFUNCTION("""COMPUTED_VALUE"""),"Батуми")</f>
        <v>Батуми</v>
      </c>
      <c r="S67" s="38">
        <f ca="1">IFERROR(__xludf.DUMMYFUNCTION("""COMPUTED_VALUE"""),1200)</f>
        <v>1200</v>
      </c>
      <c r="T67" s="25" t="str">
        <f ca="1">IFERROR(__xludf.DUMMYFUNCTION("""COMPUTED_VALUE"""),"14-18")</f>
        <v>14-18</v>
      </c>
      <c r="U67" s="23" t="str">
        <f ca="1">IFERROR(__xludf.DUMMYFUNCTION("""COMPUTED_VALUE"""),"да")</f>
        <v>да</v>
      </c>
      <c r="V67" s="18" t="str">
        <f ca="1">IFERROR(__xludf.DUMMYFUNCTION("""COMPUTED_VALUE"""),"-")</f>
        <v>-</v>
      </c>
      <c r="W67" s="18"/>
      <c r="X67" s="20" t="str">
        <f ca="1">IFERROR(__xludf.DUMMYFUNCTION("""COMPUTED_VALUE"""),"995 597 54 70 07 Кристина")</f>
        <v>995 597 54 70 07 Кристина</v>
      </c>
      <c r="Y67" s="26">
        <f ca="1">IFERROR(__xludf.DUMMYFUNCTION("""COMPUTED_VALUE"""),0.032)</f>
        <v>3.2000000000000001E-2</v>
      </c>
      <c r="Z67" s="27">
        <f ca="1">IFERROR(__xludf.DUMMYFUNCTION("""COMPUTED_VALUE"""),0.038)</f>
        <v>3.7999999999999999E-2</v>
      </c>
      <c r="AA67" s="28"/>
      <c r="AB67" s="28"/>
      <c r="AC67" s="28"/>
      <c r="AD67" s="28"/>
      <c r="AE67" s="28"/>
      <c r="AF67" s="28"/>
      <c r="AG67" s="28"/>
      <c r="AH67" s="28"/>
      <c r="AI67" s="28"/>
      <c r="AJ67" s="28"/>
    </row>
    <row r="68" spans="1:36" ht="75.75" thickBot="1" x14ac:dyDescent="0.3">
      <c r="A68" s="17" t="str">
        <f ca="1">IFERROR(__xludf.DUMMYFUNCTION("""COMPUTED_VALUE"""),"AVANGARD")</f>
        <v>AVANGARD</v>
      </c>
      <c r="B68" s="18" t="str">
        <f ca="1">IFERROR(__xludf.DUMMYFUNCTION("""COMPUTED_VALUE"""),"Avangard Seaside Area")</f>
        <v>Avangard Seaside Area</v>
      </c>
      <c r="C68" s="18" t="str">
        <f ca="1">IFERROR(__xludf.DUMMYFUNCTION("""COMPUTED_VALUE"""),"ПВ 0%, рассрочка на 4 года")</f>
        <v>ПВ 0%, рассрочка на 4 года</v>
      </c>
      <c r="D68" s="18" t="str">
        <f ca="1">IFERROR(__xludf.DUMMYFUNCTION("""COMPUTED_VALUE"""),"ПВ 20% - 100% комиссии")</f>
        <v>ПВ 20% - 100% комиссии</v>
      </c>
      <c r="E68" s="19" t="str">
        <f ca="1">IFERROR(__xludf.DUMMYFUNCTION("""COMPUTED_VALUE"""),"Ссылка")</f>
        <v>Ссылка</v>
      </c>
      <c r="F68" s="18"/>
      <c r="G68" s="19" t="str">
        <f ca="1">IFERROR(__xludf.DUMMYFUNCTION("""COMPUTED_VALUE"""),"Ссылка")</f>
        <v>Ссылка</v>
      </c>
      <c r="H68" s="19" t="str">
        <f ca="1">IFERROR(__xludf.DUMMYFUNCTION("""COMPUTED_VALUE"""),"Ссылка")</f>
        <v>Ссылка</v>
      </c>
      <c r="I68" s="19" t="str">
        <f ca="1">IFERROR(__xludf.DUMMYFUNCTION("""COMPUTED_VALUE"""),"Ссылка")</f>
        <v>Ссылка</v>
      </c>
      <c r="J68" s="18" t="str">
        <f ca="1">IFERROR(__xludf.DUMMYFUNCTION("""COMPUTED_VALUE"""),"BF")</f>
        <v>BF</v>
      </c>
      <c r="K68" s="18" t="str">
        <f ca="1">IFERROR(__xludf.DUMMYFUNCTION("""COMPUTED_VALUE"""),"Жилой")</f>
        <v>Жилой</v>
      </c>
      <c r="L68" s="18" t="str">
        <f ca="1">IFERROR(__xludf.DUMMYFUNCTION("""COMPUTED_VALUE"""),"32 - 91 м2")</f>
        <v>32 - 91 м2</v>
      </c>
      <c r="M68" s="20" t="str">
        <f ca="1">IFERROR(__xludf.DUMMYFUNCTION("""COMPUTED_VALUE"""),"2 квартал")</f>
        <v>2 квартал</v>
      </c>
      <c r="N68" s="21">
        <f ca="1">IFERROR(__xludf.DUMMYFUNCTION("""COMPUTED_VALUE"""),2027)</f>
        <v>2027</v>
      </c>
      <c r="O68" s="22" t="str">
        <f ca="1">IFERROR(__xludf.DUMMYFUNCTION("""COMPUTED_VALUE"""),"600$ - без мягкой мебели и телевизора, 190 $ - WF")</f>
        <v>600$ - без мягкой мебели и телевизора, 190 $ - WF</v>
      </c>
      <c r="P68" s="23" t="str">
        <f ca="1">IFERROR(__xludf.DUMMYFUNCTION("""COMPUTED_VALUE"""),"полностью оплачивается")</f>
        <v>полностью оплачивается</v>
      </c>
      <c r="Q68" s="18"/>
      <c r="R68" s="24" t="str">
        <f ca="1">IFERROR(__xludf.DUMMYFUNCTION("""COMPUTED_VALUE"""),"Батуми")</f>
        <v>Батуми</v>
      </c>
      <c r="S68" s="38">
        <f ca="1">IFERROR(__xludf.DUMMYFUNCTION("""COMPUTED_VALUE"""),1040)</f>
        <v>1040</v>
      </c>
      <c r="T68" s="25" t="str">
        <f ca="1">IFERROR(__xludf.DUMMYFUNCTION("""COMPUTED_VALUE"""),"10-17")</f>
        <v>10-17</v>
      </c>
      <c r="U68" s="23" t="str">
        <f ca="1">IFERROR(__xludf.DUMMYFUNCTION("""COMPUTED_VALUE"""),"нет")</f>
        <v>нет</v>
      </c>
      <c r="V68" s="18"/>
      <c r="W68" s="18"/>
      <c r="X68" s="20" t="str">
        <f ca="1">IFERROR(__xludf.DUMMYFUNCTION("""COMPUTED_VALUE"""),"995596050099 Гоча, 995596050099 Алла")</f>
        <v>995596050099 Гоча, 995596050099 Алла</v>
      </c>
      <c r="Y68" s="26">
        <f ca="1">IFERROR(__xludf.DUMMYFUNCTION("""COMPUTED_VALUE"""),0.032)</f>
        <v>3.2000000000000001E-2</v>
      </c>
      <c r="Z68" s="27">
        <f ca="1">IFERROR(__xludf.DUMMYFUNCTION("""COMPUTED_VALUE"""),0.038)</f>
        <v>3.7999999999999999E-2</v>
      </c>
      <c r="AA68" s="28"/>
      <c r="AB68" s="28"/>
      <c r="AC68" s="28"/>
      <c r="AD68" s="28"/>
      <c r="AE68" s="28"/>
      <c r="AF68" s="28"/>
      <c r="AG68" s="28"/>
      <c r="AH68" s="28"/>
      <c r="AI68" s="28"/>
      <c r="AJ68" s="28"/>
    </row>
    <row r="69" spans="1:36" ht="15.75" thickBot="1" x14ac:dyDescent="0.3">
      <c r="A69" s="17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20"/>
      <c r="N69" s="21"/>
      <c r="O69" s="18"/>
      <c r="P69" s="23"/>
      <c r="Q69" s="18"/>
      <c r="R69" s="24"/>
      <c r="S69" s="18"/>
      <c r="T69" s="31"/>
      <c r="U69" s="23"/>
      <c r="V69" s="18"/>
      <c r="W69" s="18"/>
      <c r="X69" s="20"/>
      <c r="Y69" s="26"/>
      <c r="Z69" s="27"/>
      <c r="AA69" s="28"/>
      <c r="AB69" s="28"/>
      <c r="AC69" s="28"/>
      <c r="AD69" s="28"/>
      <c r="AE69" s="28"/>
      <c r="AF69" s="28"/>
      <c r="AG69" s="28"/>
      <c r="AH69" s="28"/>
      <c r="AI69" s="28"/>
      <c r="AJ69" s="28"/>
    </row>
    <row r="70" spans="1:36" x14ac:dyDescent="0.25">
      <c r="A70" s="39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28"/>
      <c r="N70" s="41"/>
      <c r="O70" s="40"/>
      <c r="P70" s="42"/>
      <c r="Q70" s="40"/>
      <c r="R70" s="43"/>
      <c r="S70" s="40"/>
      <c r="T70" s="44"/>
      <c r="U70" s="42"/>
      <c r="V70" s="40"/>
      <c r="W70" s="40"/>
      <c r="X70" s="28"/>
      <c r="Y70" s="27"/>
      <c r="Z70" s="27"/>
      <c r="AA70" s="28"/>
      <c r="AB70" s="28"/>
      <c r="AC70" s="28"/>
      <c r="AD70" s="28"/>
      <c r="AE70" s="28"/>
      <c r="AF70" s="28"/>
      <c r="AG70" s="28"/>
      <c r="AH70" s="28"/>
      <c r="AI70" s="28"/>
      <c r="AJ70" s="28"/>
    </row>
    <row r="71" spans="1:36" x14ac:dyDescent="0.25">
      <c r="A71" s="39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28"/>
      <c r="N71" s="41"/>
      <c r="O71" s="40"/>
      <c r="P71" s="42"/>
      <c r="Q71" s="40"/>
      <c r="R71" s="43"/>
      <c r="S71" s="40"/>
      <c r="T71" s="44"/>
      <c r="U71" s="42"/>
      <c r="V71" s="40"/>
      <c r="W71" s="40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</row>
    <row r="72" spans="1:36" x14ac:dyDescent="0.25">
      <c r="A72" s="39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28"/>
      <c r="N72" s="41"/>
      <c r="O72" s="40"/>
      <c r="P72" s="42"/>
      <c r="Q72" s="40"/>
      <c r="R72" s="43"/>
      <c r="S72" s="40"/>
      <c r="T72" s="44"/>
      <c r="U72" s="42"/>
      <c r="V72" s="40"/>
      <c r="W72" s="40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</row>
    <row r="73" spans="1:36" x14ac:dyDescent="0.25">
      <c r="A73" s="39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28"/>
      <c r="N73" s="41"/>
      <c r="O73" s="40"/>
      <c r="P73" s="42"/>
      <c r="Q73" s="40"/>
      <c r="R73" s="43"/>
      <c r="S73" s="40"/>
      <c r="T73" s="44"/>
      <c r="U73" s="42"/>
      <c r="V73" s="40"/>
      <c r="W73" s="40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</row>
    <row r="74" spans="1:36" x14ac:dyDescent="0.25">
      <c r="A74" s="39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28"/>
      <c r="N74" s="41"/>
      <c r="O74" s="40"/>
      <c r="P74" s="42"/>
      <c r="Q74" s="40"/>
      <c r="R74" s="43"/>
      <c r="S74" s="40"/>
      <c r="T74" s="44"/>
      <c r="U74" s="42"/>
      <c r="V74" s="40"/>
      <c r="W74" s="40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</row>
    <row r="75" spans="1:36" x14ac:dyDescent="0.25">
      <c r="A75" s="39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28"/>
      <c r="N75" s="41"/>
      <c r="O75" s="40"/>
      <c r="P75" s="42"/>
      <c r="Q75" s="40"/>
      <c r="R75" s="43"/>
      <c r="S75" s="40"/>
      <c r="T75" s="44"/>
      <c r="U75" s="42"/>
      <c r="V75" s="40"/>
      <c r="W75" s="40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</row>
    <row r="76" spans="1:36" x14ac:dyDescent="0.25">
      <c r="A76" s="39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28"/>
      <c r="N76" s="41"/>
      <c r="O76" s="40"/>
      <c r="P76" s="42"/>
      <c r="Q76" s="40"/>
      <c r="R76" s="43"/>
      <c r="S76" s="40"/>
      <c r="T76" s="44"/>
      <c r="U76" s="42"/>
      <c r="V76" s="40"/>
      <c r="W76" s="40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</row>
    <row r="77" spans="1:36" x14ac:dyDescent="0.25">
      <c r="A77" s="39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28"/>
      <c r="N77" s="41"/>
      <c r="O77" s="40"/>
      <c r="P77" s="42"/>
      <c r="Q77" s="40"/>
      <c r="R77" s="43"/>
      <c r="S77" s="40"/>
      <c r="T77" s="44"/>
      <c r="U77" s="42"/>
      <c r="V77" s="40"/>
      <c r="W77" s="40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</row>
    <row r="78" spans="1:36" x14ac:dyDescent="0.25">
      <c r="A78" s="39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28"/>
      <c r="N78" s="41"/>
      <c r="O78" s="40"/>
      <c r="P78" s="42"/>
      <c r="Q78" s="40"/>
      <c r="R78" s="43"/>
      <c r="S78" s="40"/>
      <c r="T78" s="44"/>
      <c r="U78" s="42"/>
      <c r="V78" s="40"/>
      <c r="W78" s="40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</row>
    <row r="79" spans="1:36" x14ac:dyDescent="0.25">
      <c r="A79" s="39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28"/>
      <c r="N79" s="41"/>
      <c r="O79" s="40"/>
      <c r="P79" s="42"/>
      <c r="Q79" s="40"/>
      <c r="R79" s="43"/>
      <c r="S79" s="40"/>
      <c r="T79" s="44"/>
      <c r="U79" s="42"/>
      <c r="V79" s="40"/>
      <c r="W79" s="40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</row>
    <row r="80" spans="1:36" x14ac:dyDescent="0.25">
      <c r="A80" s="39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28"/>
      <c r="N80" s="41"/>
      <c r="O80" s="40"/>
      <c r="P80" s="42"/>
      <c r="Q80" s="40"/>
      <c r="R80" s="43"/>
      <c r="S80" s="40"/>
      <c r="T80" s="44"/>
      <c r="U80" s="42"/>
      <c r="V80" s="40"/>
      <c r="W80" s="40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</row>
    <row r="81" spans="1:36" x14ac:dyDescent="0.25">
      <c r="A81" s="39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28"/>
      <c r="N81" s="41"/>
      <c r="O81" s="40"/>
      <c r="P81" s="42"/>
      <c r="Q81" s="40"/>
      <c r="R81" s="43"/>
      <c r="S81" s="40"/>
      <c r="T81" s="44"/>
      <c r="U81" s="42"/>
      <c r="V81" s="40"/>
      <c r="W81" s="40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</row>
    <row r="82" spans="1:36" x14ac:dyDescent="0.25">
      <c r="A82" s="39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28"/>
      <c r="N82" s="41"/>
      <c r="O82" s="40"/>
      <c r="P82" s="42"/>
      <c r="Q82" s="40"/>
      <c r="R82" s="43"/>
      <c r="S82" s="40"/>
      <c r="T82" s="44"/>
      <c r="U82" s="42"/>
      <c r="V82" s="40"/>
      <c r="W82" s="40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</row>
    <row r="83" spans="1:36" x14ac:dyDescent="0.25">
      <c r="A83" s="39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28"/>
      <c r="N83" s="41"/>
      <c r="O83" s="40"/>
      <c r="P83" s="42"/>
      <c r="Q83" s="40"/>
      <c r="R83" s="43"/>
      <c r="S83" s="40"/>
      <c r="T83" s="44"/>
      <c r="U83" s="42"/>
      <c r="V83" s="40"/>
      <c r="W83" s="40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</row>
    <row r="84" spans="1:36" x14ac:dyDescent="0.25">
      <c r="A84" s="39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28"/>
      <c r="N84" s="41"/>
      <c r="O84" s="40"/>
      <c r="P84" s="42"/>
      <c r="Q84" s="40"/>
      <c r="R84" s="43"/>
      <c r="S84" s="40"/>
      <c r="T84" s="44"/>
      <c r="U84" s="42"/>
      <c r="V84" s="40"/>
      <c r="W84" s="40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</row>
    <row r="85" spans="1:36" x14ac:dyDescent="0.25">
      <c r="A85" s="39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28"/>
      <c r="N85" s="41"/>
      <c r="O85" s="40"/>
      <c r="P85" s="42"/>
      <c r="Q85" s="40"/>
      <c r="R85" s="43"/>
      <c r="S85" s="40"/>
      <c r="T85" s="44"/>
      <c r="U85" s="42"/>
      <c r="V85" s="40"/>
      <c r="W85" s="40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</row>
    <row r="86" spans="1:36" x14ac:dyDescent="0.25">
      <c r="A86" s="39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28"/>
      <c r="N86" s="41"/>
      <c r="O86" s="40"/>
      <c r="P86" s="42"/>
      <c r="Q86" s="40"/>
      <c r="R86" s="43"/>
      <c r="S86" s="40"/>
      <c r="T86" s="44"/>
      <c r="U86" s="42"/>
      <c r="V86" s="40"/>
      <c r="W86" s="40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</row>
    <row r="87" spans="1:36" x14ac:dyDescent="0.25">
      <c r="A87" s="39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28"/>
      <c r="N87" s="41"/>
      <c r="O87" s="40"/>
      <c r="P87" s="42"/>
      <c r="Q87" s="40"/>
      <c r="R87" s="43"/>
      <c r="S87" s="40"/>
      <c r="T87" s="44"/>
      <c r="U87" s="42"/>
      <c r="V87" s="40"/>
      <c r="W87" s="40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</row>
    <row r="88" spans="1:36" x14ac:dyDescent="0.25">
      <c r="A88" s="39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28"/>
      <c r="N88" s="41"/>
      <c r="O88" s="40"/>
      <c r="P88" s="42"/>
      <c r="Q88" s="40"/>
      <c r="R88" s="43"/>
      <c r="S88" s="40"/>
      <c r="T88" s="44"/>
      <c r="U88" s="42"/>
      <c r="V88" s="40"/>
      <c r="W88" s="40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</row>
    <row r="89" spans="1:36" x14ac:dyDescent="0.25">
      <c r="A89" s="39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28"/>
      <c r="N89" s="41"/>
      <c r="O89" s="40"/>
      <c r="P89" s="42"/>
      <c r="Q89" s="40"/>
      <c r="R89" s="43"/>
      <c r="S89" s="40"/>
      <c r="T89" s="44"/>
      <c r="U89" s="42"/>
      <c r="V89" s="40"/>
      <c r="W89" s="40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</row>
    <row r="90" spans="1:36" x14ac:dyDescent="0.25">
      <c r="A90" s="39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28"/>
      <c r="N90" s="41"/>
      <c r="O90" s="40"/>
      <c r="P90" s="42"/>
      <c r="Q90" s="40"/>
      <c r="R90" s="43"/>
      <c r="S90" s="40"/>
      <c r="T90" s="44"/>
      <c r="U90" s="42"/>
      <c r="V90" s="40"/>
      <c r="W90" s="40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</row>
    <row r="91" spans="1:36" x14ac:dyDescent="0.25">
      <c r="A91" s="39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28"/>
      <c r="N91" s="41"/>
      <c r="O91" s="40"/>
      <c r="P91" s="42"/>
      <c r="Q91" s="40"/>
      <c r="R91" s="43"/>
      <c r="S91" s="40"/>
      <c r="T91" s="44"/>
      <c r="U91" s="42"/>
      <c r="V91" s="40"/>
      <c r="W91" s="40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</row>
    <row r="92" spans="1:36" x14ac:dyDescent="0.25">
      <c r="A92" s="39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28"/>
      <c r="N92" s="41"/>
      <c r="O92" s="40"/>
      <c r="P92" s="42"/>
      <c r="Q92" s="40"/>
      <c r="R92" s="43"/>
      <c r="S92" s="40"/>
      <c r="T92" s="44"/>
      <c r="U92" s="42"/>
      <c r="V92" s="40"/>
      <c r="W92" s="40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</row>
    <row r="93" spans="1:36" x14ac:dyDescent="0.25">
      <c r="A93" s="39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28"/>
      <c r="N93" s="41"/>
      <c r="O93" s="40"/>
      <c r="P93" s="42"/>
      <c r="Q93" s="40"/>
      <c r="R93" s="43"/>
      <c r="S93" s="40"/>
      <c r="T93" s="44"/>
      <c r="U93" s="42"/>
      <c r="V93" s="40"/>
      <c r="W93" s="40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</row>
    <row r="94" spans="1:36" x14ac:dyDescent="0.25">
      <c r="A94" s="39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28"/>
      <c r="N94" s="41"/>
      <c r="O94" s="40"/>
      <c r="P94" s="42"/>
      <c r="Q94" s="40"/>
      <c r="R94" s="43"/>
      <c r="S94" s="40"/>
      <c r="T94" s="44"/>
      <c r="U94" s="42"/>
      <c r="V94" s="40"/>
      <c r="W94" s="40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</row>
    <row r="95" spans="1:36" x14ac:dyDescent="0.25">
      <c r="A95" s="39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28"/>
      <c r="N95" s="41"/>
      <c r="O95" s="40"/>
      <c r="P95" s="42"/>
      <c r="Q95" s="40"/>
      <c r="R95" s="43"/>
      <c r="S95" s="40"/>
      <c r="T95" s="44"/>
      <c r="U95" s="42"/>
      <c r="V95" s="40"/>
      <c r="W95" s="40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</row>
    <row r="96" spans="1:36" x14ac:dyDescent="0.25">
      <c r="A96" s="39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28"/>
      <c r="N96" s="41"/>
      <c r="O96" s="40"/>
      <c r="P96" s="42"/>
      <c r="Q96" s="40"/>
      <c r="R96" s="43"/>
      <c r="S96" s="40"/>
      <c r="T96" s="44"/>
      <c r="U96" s="42"/>
      <c r="V96" s="40"/>
      <c r="W96" s="40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</row>
    <row r="97" spans="1:36" x14ac:dyDescent="0.25">
      <c r="A97" s="39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28"/>
      <c r="N97" s="41"/>
      <c r="O97" s="40"/>
      <c r="P97" s="42"/>
      <c r="Q97" s="40"/>
      <c r="R97" s="43"/>
      <c r="S97" s="40"/>
      <c r="T97" s="44"/>
      <c r="U97" s="42"/>
      <c r="V97" s="40"/>
      <c r="W97" s="40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</row>
    <row r="98" spans="1:36" x14ac:dyDescent="0.25">
      <c r="A98" s="39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28"/>
      <c r="N98" s="41"/>
      <c r="O98" s="40"/>
      <c r="P98" s="42"/>
      <c r="Q98" s="40"/>
      <c r="R98" s="43"/>
      <c r="S98" s="40"/>
      <c r="T98" s="44"/>
      <c r="U98" s="42"/>
      <c r="V98" s="40"/>
      <c r="W98" s="40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</row>
    <row r="99" spans="1:36" x14ac:dyDescent="0.25">
      <c r="A99" s="39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28"/>
      <c r="N99" s="41"/>
      <c r="O99" s="40"/>
      <c r="P99" s="42"/>
      <c r="Q99" s="40"/>
      <c r="R99" s="43"/>
      <c r="S99" s="40"/>
      <c r="T99" s="44"/>
      <c r="U99" s="42"/>
      <c r="V99" s="40"/>
      <c r="W99" s="40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</row>
    <row r="100" spans="1:36" x14ac:dyDescent="0.25">
      <c r="A100" s="39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28"/>
      <c r="N100" s="41"/>
      <c r="O100" s="40"/>
      <c r="P100" s="42"/>
      <c r="Q100" s="40"/>
      <c r="R100" s="43"/>
      <c r="S100" s="40"/>
      <c r="T100" s="44"/>
      <c r="U100" s="42"/>
      <c r="V100" s="40"/>
      <c r="W100" s="40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</row>
    <row r="101" spans="1:36" x14ac:dyDescent="0.25">
      <c r="A101" s="39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28"/>
      <c r="N101" s="41"/>
      <c r="O101" s="40"/>
      <c r="P101" s="42"/>
      <c r="Q101" s="40"/>
      <c r="R101" s="43"/>
      <c r="S101" s="40"/>
      <c r="T101" s="44"/>
      <c r="U101" s="42"/>
      <c r="V101" s="40"/>
      <c r="W101" s="40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</row>
    <row r="102" spans="1:36" x14ac:dyDescent="0.25">
      <c r="A102" s="39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28"/>
      <c r="N102" s="41"/>
      <c r="O102" s="40"/>
      <c r="P102" s="42"/>
      <c r="Q102" s="40"/>
      <c r="R102" s="43"/>
      <c r="S102" s="40"/>
      <c r="T102" s="44"/>
      <c r="U102" s="42"/>
      <c r="V102" s="40"/>
      <c r="W102" s="40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</row>
    <row r="103" spans="1:36" x14ac:dyDescent="0.25">
      <c r="A103" s="39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28"/>
      <c r="N103" s="41"/>
      <c r="O103" s="40"/>
      <c r="P103" s="42"/>
      <c r="Q103" s="40"/>
      <c r="R103" s="43"/>
      <c r="S103" s="40"/>
      <c r="T103" s="44"/>
      <c r="U103" s="42"/>
      <c r="V103" s="40"/>
      <c r="W103" s="40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</row>
    <row r="104" spans="1:36" x14ac:dyDescent="0.25">
      <c r="A104" s="39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28"/>
      <c r="N104" s="41"/>
      <c r="O104" s="40"/>
      <c r="P104" s="42"/>
      <c r="Q104" s="40"/>
      <c r="R104" s="43"/>
      <c r="S104" s="40"/>
      <c r="T104" s="44"/>
      <c r="U104" s="42"/>
      <c r="V104" s="40"/>
      <c r="W104" s="40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</row>
    <row r="105" spans="1:36" x14ac:dyDescent="0.25">
      <c r="A105" s="39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28"/>
      <c r="N105" s="41"/>
      <c r="O105" s="40"/>
      <c r="P105" s="42"/>
      <c r="Q105" s="40"/>
      <c r="R105" s="43"/>
      <c r="S105" s="40"/>
      <c r="T105" s="44"/>
      <c r="U105" s="42"/>
      <c r="V105" s="40"/>
      <c r="W105" s="40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</row>
    <row r="106" spans="1:36" x14ac:dyDescent="0.25">
      <c r="A106" s="39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28"/>
      <c r="N106" s="41"/>
      <c r="O106" s="40"/>
      <c r="P106" s="42"/>
      <c r="Q106" s="40"/>
      <c r="R106" s="43"/>
      <c r="S106" s="40"/>
      <c r="T106" s="44"/>
      <c r="U106" s="42"/>
      <c r="V106" s="40"/>
      <c r="W106" s="40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</row>
    <row r="107" spans="1:36" x14ac:dyDescent="0.25">
      <c r="A107" s="39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28"/>
      <c r="N107" s="41"/>
      <c r="O107" s="40"/>
      <c r="P107" s="42"/>
      <c r="Q107" s="40"/>
      <c r="R107" s="43"/>
      <c r="S107" s="40"/>
      <c r="T107" s="44"/>
      <c r="U107" s="42"/>
      <c r="V107" s="40"/>
      <c r="W107" s="40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</row>
    <row r="108" spans="1:36" x14ac:dyDescent="0.25">
      <c r="A108" s="39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28"/>
      <c r="N108" s="41"/>
      <c r="O108" s="40"/>
      <c r="P108" s="42"/>
      <c r="Q108" s="40"/>
      <c r="R108" s="43"/>
      <c r="S108" s="40"/>
      <c r="T108" s="44"/>
      <c r="U108" s="42"/>
      <c r="V108" s="40"/>
      <c r="W108" s="40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</row>
    <row r="109" spans="1:36" x14ac:dyDescent="0.25">
      <c r="A109" s="39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28"/>
      <c r="N109" s="41"/>
      <c r="O109" s="40"/>
      <c r="P109" s="42"/>
      <c r="Q109" s="40"/>
      <c r="R109" s="43"/>
      <c r="S109" s="40"/>
      <c r="T109" s="44"/>
      <c r="U109" s="42"/>
      <c r="V109" s="40"/>
      <c r="W109" s="40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</row>
    <row r="110" spans="1:36" x14ac:dyDescent="0.25">
      <c r="A110" s="39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28"/>
      <c r="N110" s="41"/>
      <c r="O110" s="40"/>
      <c r="P110" s="42"/>
      <c r="Q110" s="40"/>
      <c r="R110" s="43"/>
      <c r="S110" s="40"/>
      <c r="T110" s="44"/>
      <c r="U110" s="42"/>
      <c r="V110" s="40"/>
      <c r="W110" s="40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</row>
    <row r="111" spans="1:36" x14ac:dyDescent="0.25">
      <c r="A111" s="39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28"/>
      <c r="N111" s="41"/>
      <c r="O111" s="40"/>
      <c r="P111" s="42"/>
      <c r="Q111" s="40"/>
      <c r="R111" s="43"/>
      <c r="S111" s="40"/>
      <c r="T111" s="44"/>
      <c r="U111" s="42"/>
      <c r="V111" s="40"/>
      <c r="W111" s="40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</row>
    <row r="112" spans="1:36" x14ac:dyDescent="0.25">
      <c r="A112" s="39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28"/>
      <c r="N112" s="41"/>
      <c r="O112" s="40"/>
      <c r="P112" s="42"/>
      <c r="Q112" s="40"/>
      <c r="R112" s="43"/>
      <c r="S112" s="40"/>
      <c r="T112" s="44"/>
      <c r="U112" s="42"/>
      <c r="V112" s="40"/>
      <c r="W112" s="40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</row>
    <row r="113" spans="1:36" x14ac:dyDescent="0.25">
      <c r="A113" s="39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28"/>
      <c r="N113" s="41"/>
      <c r="O113" s="40"/>
      <c r="P113" s="42"/>
      <c r="Q113" s="40"/>
      <c r="R113" s="43"/>
      <c r="S113" s="40"/>
      <c r="T113" s="44"/>
      <c r="U113" s="42"/>
      <c r="V113" s="40"/>
      <c r="W113" s="40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</row>
    <row r="114" spans="1:36" x14ac:dyDescent="0.25">
      <c r="A114" s="39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28"/>
      <c r="N114" s="41"/>
      <c r="O114" s="40"/>
      <c r="P114" s="42"/>
      <c r="Q114" s="40"/>
      <c r="R114" s="43"/>
      <c r="S114" s="40"/>
      <c r="T114" s="44"/>
      <c r="U114" s="42"/>
      <c r="V114" s="40"/>
      <c r="W114" s="40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</row>
    <row r="115" spans="1:36" x14ac:dyDescent="0.25">
      <c r="A115" s="39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28"/>
      <c r="N115" s="41"/>
      <c r="O115" s="40"/>
      <c r="P115" s="42"/>
      <c r="Q115" s="40"/>
      <c r="R115" s="43"/>
      <c r="S115" s="40"/>
      <c r="T115" s="44"/>
      <c r="U115" s="42"/>
      <c r="V115" s="40"/>
      <c r="W115" s="40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</row>
    <row r="116" spans="1:36" x14ac:dyDescent="0.25">
      <c r="A116" s="39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28"/>
      <c r="N116" s="41"/>
      <c r="O116" s="40"/>
      <c r="P116" s="42"/>
      <c r="Q116" s="40"/>
      <c r="R116" s="43"/>
      <c r="S116" s="40"/>
      <c r="T116" s="44"/>
      <c r="U116" s="42"/>
      <c r="V116" s="40"/>
      <c r="W116" s="40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</row>
    <row r="117" spans="1:36" x14ac:dyDescent="0.25">
      <c r="A117" s="39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28"/>
      <c r="N117" s="41"/>
      <c r="O117" s="40"/>
      <c r="P117" s="42"/>
      <c r="Q117" s="40"/>
      <c r="R117" s="43"/>
      <c r="S117" s="40"/>
      <c r="T117" s="44"/>
      <c r="U117" s="42"/>
      <c r="V117" s="40"/>
      <c r="W117" s="40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</row>
    <row r="118" spans="1:36" x14ac:dyDescent="0.25">
      <c r="A118" s="39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28"/>
      <c r="N118" s="41"/>
      <c r="O118" s="40"/>
      <c r="P118" s="42"/>
      <c r="Q118" s="40"/>
      <c r="R118" s="43"/>
      <c r="S118" s="40"/>
      <c r="T118" s="44"/>
      <c r="U118" s="42"/>
      <c r="V118" s="40"/>
      <c r="W118" s="40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</row>
    <row r="119" spans="1:36" x14ac:dyDescent="0.25">
      <c r="A119" s="39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28"/>
      <c r="N119" s="41"/>
      <c r="O119" s="40"/>
      <c r="P119" s="42"/>
      <c r="Q119" s="40"/>
      <c r="R119" s="43"/>
      <c r="S119" s="40"/>
      <c r="T119" s="44"/>
      <c r="U119" s="42"/>
      <c r="V119" s="40"/>
      <c r="W119" s="40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</row>
    <row r="120" spans="1:36" x14ac:dyDescent="0.25">
      <c r="A120" s="39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28"/>
      <c r="N120" s="41"/>
      <c r="O120" s="40"/>
      <c r="P120" s="42"/>
      <c r="Q120" s="40"/>
      <c r="R120" s="43"/>
      <c r="S120" s="40"/>
      <c r="T120" s="44"/>
      <c r="U120" s="42"/>
      <c r="V120" s="40"/>
      <c r="W120" s="40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</row>
    <row r="121" spans="1:36" x14ac:dyDescent="0.25">
      <c r="A121" s="39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28"/>
      <c r="N121" s="41"/>
      <c r="O121" s="40"/>
      <c r="P121" s="42"/>
      <c r="Q121" s="40"/>
      <c r="R121" s="43"/>
      <c r="S121" s="40"/>
      <c r="T121" s="44"/>
      <c r="U121" s="42"/>
      <c r="V121" s="40"/>
      <c r="W121" s="40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</row>
    <row r="122" spans="1:36" x14ac:dyDescent="0.25">
      <c r="A122" s="39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28"/>
      <c r="N122" s="41"/>
      <c r="O122" s="40"/>
      <c r="P122" s="42"/>
      <c r="Q122" s="40"/>
      <c r="R122" s="43"/>
      <c r="S122" s="40"/>
      <c r="T122" s="44"/>
      <c r="U122" s="42"/>
      <c r="V122" s="40"/>
      <c r="W122" s="40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</row>
    <row r="123" spans="1:36" x14ac:dyDescent="0.25">
      <c r="A123" s="39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28"/>
      <c r="N123" s="41"/>
      <c r="O123" s="40"/>
      <c r="P123" s="42"/>
      <c r="Q123" s="40"/>
      <c r="R123" s="43"/>
      <c r="S123" s="40"/>
      <c r="T123" s="44"/>
      <c r="U123" s="42"/>
      <c r="V123" s="40"/>
      <c r="W123" s="40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</row>
    <row r="124" spans="1:36" x14ac:dyDescent="0.25">
      <c r="A124" s="39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28"/>
      <c r="N124" s="41"/>
      <c r="O124" s="40"/>
      <c r="P124" s="42"/>
      <c r="Q124" s="40"/>
      <c r="R124" s="43"/>
      <c r="S124" s="40"/>
      <c r="T124" s="44"/>
      <c r="U124" s="42"/>
      <c r="V124" s="40"/>
      <c r="W124" s="40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</row>
    <row r="125" spans="1:36" x14ac:dyDescent="0.25">
      <c r="A125" s="39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28"/>
      <c r="N125" s="41"/>
      <c r="O125" s="40"/>
      <c r="P125" s="42"/>
      <c r="Q125" s="40"/>
      <c r="R125" s="43"/>
      <c r="S125" s="40"/>
      <c r="T125" s="44"/>
      <c r="U125" s="42"/>
      <c r="V125" s="40"/>
      <c r="W125" s="40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</row>
    <row r="126" spans="1:36" x14ac:dyDescent="0.25">
      <c r="A126" s="39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28"/>
      <c r="N126" s="41"/>
      <c r="O126" s="40"/>
      <c r="P126" s="42"/>
      <c r="Q126" s="40"/>
      <c r="R126" s="43"/>
      <c r="S126" s="40"/>
      <c r="T126" s="44"/>
      <c r="U126" s="42"/>
      <c r="V126" s="40"/>
      <c r="W126" s="40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</row>
    <row r="127" spans="1:36" x14ac:dyDescent="0.25">
      <c r="A127" s="39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28"/>
      <c r="N127" s="41"/>
      <c r="O127" s="40"/>
      <c r="P127" s="42"/>
      <c r="Q127" s="40"/>
      <c r="R127" s="43"/>
      <c r="S127" s="40"/>
      <c r="T127" s="44"/>
      <c r="U127" s="42"/>
      <c r="V127" s="40"/>
      <c r="W127" s="40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</row>
    <row r="128" spans="1:36" x14ac:dyDescent="0.25">
      <c r="A128" s="39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28"/>
      <c r="N128" s="41"/>
      <c r="O128" s="40"/>
      <c r="P128" s="42"/>
      <c r="Q128" s="40"/>
      <c r="R128" s="43"/>
      <c r="S128" s="40"/>
      <c r="T128" s="44"/>
      <c r="U128" s="42"/>
      <c r="V128" s="40"/>
      <c r="W128" s="40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</row>
    <row r="129" spans="1:36" x14ac:dyDescent="0.25">
      <c r="A129" s="39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28"/>
      <c r="N129" s="41"/>
      <c r="O129" s="40"/>
      <c r="P129" s="42"/>
      <c r="Q129" s="40"/>
      <c r="R129" s="43"/>
      <c r="S129" s="40"/>
      <c r="T129" s="44"/>
      <c r="U129" s="42"/>
      <c r="V129" s="40"/>
      <c r="W129" s="40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</row>
    <row r="130" spans="1:36" x14ac:dyDescent="0.25">
      <c r="A130" s="39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28"/>
      <c r="N130" s="41"/>
      <c r="O130" s="40"/>
      <c r="P130" s="42"/>
      <c r="Q130" s="40"/>
      <c r="R130" s="43"/>
      <c r="S130" s="40"/>
      <c r="T130" s="44"/>
      <c r="U130" s="42"/>
      <c r="V130" s="40"/>
      <c r="W130" s="40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</row>
    <row r="131" spans="1:36" x14ac:dyDescent="0.25">
      <c r="A131" s="39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28"/>
      <c r="N131" s="41"/>
      <c r="O131" s="40"/>
      <c r="P131" s="42"/>
      <c r="Q131" s="40"/>
      <c r="R131" s="43"/>
      <c r="S131" s="40"/>
      <c r="T131" s="44"/>
      <c r="U131" s="42"/>
      <c r="V131" s="40"/>
      <c r="W131" s="40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</row>
    <row r="132" spans="1:36" x14ac:dyDescent="0.25">
      <c r="A132" s="39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28"/>
      <c r="N132" s="41"/>
      <c r="O132" s="40"/>
      <c r="P132" s="42"/>
      <c r="Q132" s="40"/>
      <c r="R132" s="43"/>
      <c r="S132" s="40"/>
      <c r="T132" s="44"/>
      <c r="U132" s="42"/>
      <c r="V132" s="40"/>
      <c r="W132" s="40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</row>
    <row r="133" spans="1:36" x14ac:dyDescent="0.25">
      <c r="A133" s="39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28"/>
      <c r="N133" s="41"/>
      <c r="O133" s="40"/>
      <c r="P133" s="42"/>
      <c r="Q133" s="40"/>
      <c r="R133" s="43"/>
      <c r="S133" s="40"/>
      <c r="T133" s="44"/>
      <c r="U133" s="42"/>
      <c r="V133" s="40"/>
      <c r="W133" s="40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</row>
    <row r="134" spans="1:36" x14ac:dyDescent="0.25">
      <c r="A134" s="39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28"/>
      <c r="N134" s="41"/>
      <c r="O134" s="40"/>
      <c r="P134" s="42"/>
      <c r="Q134" s="40"/>
      <c r="R134" s="43"/>
      <c r="S134" s="40"/>
      <c r="T134" s="44"/>
      <c r="U134" s="42"/>
      <c r="V134" s="40"/>
      <c r="W134" s="40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</row>
    <row r="135" spans="1:36" x14ac:dyDescent="0.25">
      <c r="A135" s="39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28"/>
      <c r="N135" s="41"/>
      <c r="O135" s="40"/>
      <c r="P135" s="42"/>
      <c r="Q135" s="40"/>
      <c r="R135" s="43"/>
      <c r="S135" s="40"/>
      <c r="T135" s="44"/>
      <c r="U135" s="42"/>
      <c r="V135" s="40"/>
      <c r="W135" s="40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</row>
    <row r="136" spans="1:36" x14ac:dyDescent="0.25">
      <c r="A136" s="39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28"/>
      <c r="N136" s="41"/>
      <c r="O136" s="40"/>
      <c r="P136" s="42"/>
      <c r="Q136" s="40"/>
      <c r="R136" s="43"/>
      <c r="S136" s="40"/>
      <c r="T136" s="44"/>
      <c r="U136" s="42"/>
      <c r="V136" s="40"/>
      <c r="W136" s="40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</row>
    <row r="137" spans="1:36" x14ac:dyDescent="0.25">
      <c r="A137" s="39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28"/>
      <c r="N137" s="41"/>
      <c r="O137" s="40"/>
      <c r="P137" s="42"/>
      <c r="Q137" s="40"/>
      <c r="R137" s="43"/>
      <c r="S137" s="40"/>
      <c r="T137" s="44"/>
      <c r="U137" s="42"/>
      <c r="V137" s="40"/>
      <c r="W137" s="40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</row>
    <row r="138" spans="1:36" x14ac:dyDescent="0.25">
      <c r="A138" s="39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28"/>
      <c r="N138" s="41"/>
      <c r="O138" s="40"/>
      <c r="P138" s="42"/>
      <c r="Q138" s="40"/>
      <c r="R138" s="43"/>
      <c r="S138" s="40"/>
      <c r="T138" s="44"/>
      <c r="U138" s="42"/>
      <c r="V138" s="40"/>
      <c r="W138" s="40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</row>
    <row r="139" spans="1:36" x14ac:dyDescent="0.25">
      <c r="A139" s="39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28"/>
      <c r="N139" s="41"/>
      <c r="O139" s="40"/>
      <c r="P139" s="42"/>
      <c r="Q139" s="40"/>
      <c r="R139" s="43"/>
      <c r="S139" s="40"/>
      <c r="T139" s="44"/>
      <c r="U139" s="42"/>
      <c r="V139" s="40"/>
      <c r="W139" s="40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</row>
    <row r="140" spans="1:36" x14ac:dyDescent="0.25">
      <c r="A140" s="39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28"/>
      <c r="N140" s="41"/>
      <c r="O140" s="40"/>
      <c r="P140" s="42"/>
      <c r="Q140" s="40"/>
      <c r="R140" s="43"/>
      <c r="S140" s="40"/>
      <c r="T140" s="44"/>
      <c r="U140" s="42"/>
      <c r="V140" s="40"/>
      <c r="W140" s="40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</row>
    <row r="141" spans="1:36" x14ac:dyDescent="0.25">
      <c r="A141" s="39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28"/>
      <c r="N141" s="41"/>
      <c r="O141" s="40"/>
      <c r="P141" s="42"/>
      <c r="Q141" s="40"/>
      <c r="R141" s="43"/>
      <c r="S141" s="40"/>
      <c r="T141" s="44"/>
      <c r="U141" s="42"/>
      <c r="V141" s="40"/>
      <c r="W141" s="40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</row>
    <row r="142" spans="1:36" x14ac:dyDescent="0.25">
      <c r="A142" s="39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28"/>
      <c r="N142" s="41"/>
      <c r="O142" s="40"/>
      <c r="P142" s="42"/>
      <c r="Q142" s="40"/>
      <c r="R142" s="43"/>
      <c r="S142" s="40"/>
      <c r="T142" s="44"/>
      <c r="U142" s="42"/>
      <c r="V142" s="40"/>
      <c r="W142" s="40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</row>
    <row r="143" spans="1:36" x14ac:dyDescent="0.25">
      <c r="A143" s="39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28"/>
      <c r="N143" s="41"/>
      <c r="O143" s="40"/>
      <c r="P143" s="42"/>
      <c r="Q143" s="40"/>
      <c r="R143" s="43"/>
      <c r="S143" s="40"/>
      <c r="T143" s="44"/>
      <c r="U143" s="42"/>
      <c r="V143" s="40"/>
      <c r="W143" s="40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</row>
    <row r="144" spans="1:36" x14ac:dyDescent="0.25">
      <c r="A144" s="39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28"/>
      <c r="N144" s="41"/>
      <c r="O144" s="40"/>
      <c r="P144" s="42"/>
      <c r="Q144" s="40"/>
      <c r="R144" s="43"/>
      <c r="S144" s="40"/>
      <c r="T144" s="44"/>
      <c r="U144" s="42"/>
      <c r="V144" s="40"/>
      <c r="W144" s="40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</row>
    <row r="145" spans="1:36" x14ac:dyDescent="0.25">
      <c r="A145" s="39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28"/>
      <c r="N145" s="41"/>
      <c r="O145" s="40"/>
      <c r="P145" s="42"/>
      <c r="Q145" s="40"/>
      <c r="R145" s="43"/>
      <c r="S145" s="40"/>
      <c r="T145" s="44"/>
      <c r="U145" s="42"/>
      <c r="V145" s="40"/>
      <c r="W145" s="40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</row>
    <row r="146" spans="1:36" x14ac:dyDescent="0.25">
      <c r="A146" s="39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28"/>
      <c r="N146" s="41"/>
      <c r="O146" s="40"/>
      <c r="P146" s="42"/>
      <c r="Q146" s="40"/>
      <c r="R146" s="43"/>
      <c r="S146" s="40"/>
      <c r="T146" s="44"/>
      <c r="U146" s="42"/>
      <c r="V146" s="40"/>
      <c r="W146" s="40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</row>
    <row r="147" spans="1:36" x14ac:dyDescent="0.25">
      <c r="A147" s="39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28"/>
      <c r="N147" s="41"/>
      <c r="O147" s="40"/>
      <c r="P147" s="42"/>
      <c r="Q147" s="40"/>
      <c r="R147" s="43"/>
      <c r="S147" s="40"/>
      <c r="T147" s="44"/>
      <c r="U147" s="42"/>
      <c r="V147" s="40"/>
      <c r="W147" s="40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</row>
    <row r="148" spans="1:36" x14ac:dyDescent="0.25">
      <c r="A148" s="39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28"/>
      <c r="N148" s="41"/>
      <c r="O148" s="40"/>
      <c r="P148" s="42"/>
      <c r="Q148" s="40"/>
      <c r="R148" s="43"/>
      <c r="S148" s="40"/>
      <c r="T148" s="44"/>
      <c r="U148" s="42"/>
      <c r="V148" s="40"/>
      <c r="W148" s="40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</row>
    <row r="149" spans="1:36" x14ac:dyDescent="0.25">
      <c r="A149" s="39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28"/>
      <c r="N149" s="41"/>
      <c r="O149" s="40"/>
      <c r="P149" s="42"/>
      <c r="Q149" s="40"/>
      <c r="R149" s="43"/>
      <c r="S149" s="40"/>
      <c r="T149" s="44"/>
      <c r="U149" s="42"/>
      <c r="V149" s="40"/>
      <c r="W149" s="40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</row>
    <row r="150" spans="1:36" x14ac:dyDescent="0.25">
      <c r="A150" s="39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28"/>
      <c r="N150" s="41"/>
      <c r="O150" s="40"/>
      <c r="P150" s="42"/>
      <c r="Q150" s="40"/>
      <c r="R150" s="43"/>
      <c r="S150" s="40"/>
      <c r="T150" s="44"/>
      <c r="U150" s="42"/>
      <c r="V150" s="40"/>
      <c r="W150" s="40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</row>
    <row r="151" spans="1:36" x14ac:dyDescent="0.25">
      <c r="A151" s="39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28"/>
      <c r="N151" s="41"/>
      <c r="O151" s="40"/>
      <c r="P151" s="42"/>
      <c r="Q151" s="40"/>
      <c r="R151" s="43"/>
      <c r="S151" s="40"/>
      <c r="T151" s="44"/>
      <c r="U151" s="42"/>
      <c r="V151" s="40"/>
      <c r="W151" s="40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</row>
    <row r="152" spans="1:36" x14ac:dyDescent="0.25">
      <c r="A152" s="39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28"/>
      <c r="N152" s="41"/>
      <c r="O152" s="40"/>
      <c r="P152" s="42"/>
      <c r="Q152" s="40"/>
      <c r="R152" s="43"/>
      <c r="S152" s="40"/>
      <c r="T152" s="44"/>
      <c r="U152" s="42"/>
      <c r="V152" s="40"/>
      <c r="W152" s="40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</row>
    <row r="153" spans="1:36" x14ac:dyDescent="0.25">
      <c r="A153" s="39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28"/>
      <c r="N153" s="41"/>
      <c r="O153" s="40"/>
      <c r="P153" s="42"/>
      <c r="Q153" s="40"/>
      <c r="R153" s="43"/>
      <c r="S153" s="40"/>
      <c r="T153" s="44"/>
      <c r="U153" s="42"/>
      <c r="V153" s="40"/>
      <c r="W153" s="40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</row>
    <row r="154" spans="1:36" x14ac:dyDescent="0.25">
      <c r="A154" s="39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28"/>
      <c r="N154" s="41"/>
      <c r="O154" s="40"/>
      <c r="P154" s="42"/>
      <c r="Q154" s="40"/>
      <c r="R154" s="43"/>
      <c r="S154" s="40"/>
      <c r="T154" s="44"/>
      <c r="U154" s="42"/>
      <c r="V154" s="40"/>
      <c r="W154" s="40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</row>
    <row r="155" spans="1:36" x14ac:dyDescent="0.25">
      <c r="A155" s="39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28"/>
      <c r="N155" s="41"/>
      <c r="O155" s="40"/>
      <c r="P155" s="42"/>
      <c r="Q155" s="40"/>
      <c r="R155" s="43"/>
      <c r="S155" s="40"/>
      <c r="T155" s="44"/>
      <c r="U155" s="42"/>
      <c r="V155" s="40"/>
      <c r="W155" s="40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</row>
    <row r="156" spans="1:36" x14ac:dyDescent="0.25">
      <c r="A156" s="39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28"/>
      <c r="N156" s="41"/>
      <c r="O156" s="40"/>
      <c r="P156" s="42"/>
      <c r="Q156" s="40"/>
      <c r="R156" s="43"/>
      <c r="S156" s="40"/>
      <c r="T156" s="44"/>
      <c r="U156" s="42"/>
      <c r="V156" s="40"/>
      <c r="W156" s="40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</row>
    <row r="157" spans="1:36" x14ac:dyDescent="0.25">
      <c r="A157" s="39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28"/>
      <c r="N157" s="41"/>
      <c r="O157" s="40"/>
      <c r="P157" s="42"/>
      <c r="Q157" s="40"/>
      <c r="R157" s="43"/>
      <c r="S157" s="40"/>
      <c r="T157" s="44"/>
      <c r="U157" s="42"/>
      <c r="V157" s="40"/>
      <c r="W157" s="40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</row>
    <row r="158" spans="1:36" x14ac:dyDescent="0.25">
      <c r="A158" s="39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28"/>
      <c r="N158" s="41"/>
      <c r="O158" s="40"/>
      <c r="P158" s="42"/>
      <c r="Q158" s="40"/>
      <c r="R158" s="43"/>
      <c r="S158" s="40"/>
      <c r="T158" s="44"/>
      <c r="U158" s="42"/>
      <c r="V158" s="40"/>
      <c r="W158" s="40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</row>
    <row r="159" spans="1:36" x14ac:dyDescent="0.25">
      <c r="A159" s="39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28"/>
      <c r="N159" s="41"/>
      <c r="O159" s="40"/>
      <c r="P159" s="42"/>
      <c r="Q159" s="40"/>
      <c r="R159" s="43"/>
      <c r="S159" s="40"/>
      <c r="T159" s="44"/>
      <c r="U159" s="42"/>
      <c r="V159" s="40"/>
      <c r="W159" s="40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</row>
    <row r="160" spans="1:36" x14ac:dyDescent="0.25">
      <c r="A160" s="39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28"/>
      <c r="N160" s="41"/>
      <c r="O160" s="40"/>
      <c r="P160" s="42"/>
      <c r="Q160" s="40"/>
      <c r="R160" s="43"/>
      <c r="S160" s="40"/>
      <c r="T160" s="44"/>
      <c r="U160" s="42"/>
      <c r="V160" s="40"/>
      <c r="W160" s="40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</row>
    <row r="161" spans="1:36" x14ac:dyDescent="0.25">
      <c r="A161" s="39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28"/>
      <c r="N161" s="41"/>
      <c r="O161" s="40"/>
      <c r="P161" s="42"/>
      <c r="Q161" s="40"/>
      <c r="R161" s="43"/>
      <c r="S161" s="40"/>
      <c r="T161" s="44"/>
      <c r="U161" s="42"/>
      <c r="V161" s="40"/>
      <c r="W161" s="40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</row>
    <row r="162" spans="1:36" x14ac:dyDescent="0.25">
      <c r="A162" s="39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28"/>
      <c r="N162" s="41"/>
      <c r="O162" s="40"/>
      <c r="P162" s="42"/>
      <c r="Q162" s="40"/>
      <c r="R162" s="43"/>
      <c r="S162" s="40"/>
      <c r="T162" s="44"/>
      <c r="U162" s="42"/>
      <c r="V162" s="40"/>
      <c r="W162" s="40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</row>
    <row r="163" spans="1:36" x14ac:dyDescent="0.25">
      <c r="A163" s="39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28"/>
      <c r="N163" s="41"/>
      <c r="O163" s="40"/>
      <c r="P163" s="42"/>
      <c r="Q163" s="40"/>
      <c r="R163" s="43"/>
      <c r="S163" s="40"/>
      <c r="T163" s="44"/>
      <c r="U163" s="42"/>
      <c r="V163" s="40"/>
      <c r="W163" s="40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</row>
    <row r="164" spans="1:36" x14ac:dyDescent="0.25">
      <c r="A164" s="39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28"/>
      <c r="N164" s="41"/>
      <c r="O164" s="40"/>
      <c r="P164" s="42"/>
      <c r="Q164" s="40"/>
      <c r="R164" s="43"/>
      <c r="S164" s="40"/>
      <c r="T164" s="44"/>
      <c r="U164" s="42"/>
      <c r="V164" s="40"/>
      <c r="W164" s="40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</row>
    <row r="165" spans="1:36" x14ac:dyDescent="0.25">
      <c r="A165" s="39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28"/>
      <c r="N165" s="41"/>
      <c r="O165" s="40"/>
      <c r="P165" s="42"/>
      <c r="Q165" s="40"/>
      <c r="R165" s="43"/>
      <c r="S165" s="40"/>
      <c r="T165" s="44"/>
      <c r="U165" s="42"/>
      <c r="V165" s="40"/>
      <c r="W165" s="40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</row>
    <row r="166" spans="1:36" x14ac:dyDescent="0.25">
      <c r="A166" s="39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28"/>
      <c r="N166" s="41"/>
      <c r="O166" s="40"/>
      <c r="P166" s="42"/>
      <c r="Q166" s="40"/>
      <c r="R166" s="43"/>
      <c r="S166" s="40"/>
      <c r="T166" s="44"/>
      <c r="U166" s="42"/>
      <c r="V166" s="40"/>
      <c r="W166" s="40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</row>
    <row r="167" spans="1:36" x14ac:dyDescent="0.25">
      <c r="A167" s="39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28"/>
      <c r="N167" s="41"/>
      <c r="O167" s="40"/>
      <c r="P167" s="42"/>
      <c r="Q167" s="40"/>
      <c r="R167" s="43"/>
      <c r="S167" s="40"/>
      <c r="T167" s="44"/>
      <c r="U167" s="42"/>
      <c r="V167" s="40"/>
      <c r="W167" s="40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</row>
    <row r="168" spans="1:36" x14ac:dyDescent="0.25">
      <c r="A168" s="39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28"/>
      <c r="N168" s="41"/>
      <c r="O168" s="40"/>
      <c r="P168" s="42"/>
      <c r="Q168" s="40"/>
      <c r="R168" s="43"/>
      <c r="S168" s="40"/>
      <c r="T168" s="44"/>
      <c r="U168" s="42"/>
      <c r="V168" s="40"/>
      <c r="W168" s="40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</row>
    <row r="169" spans="1:36" x14ac:dyDescent="0.25">
      <c r="A169" s="39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28"/>
      <c r="N169" s="41"/>
      <c r="O169" s="40"/>
      <c r="P169" s="42"/>
      <c r="Q169" s="40"/>
      <c r="R169" s="43"/>
      <c r="S169" s="40"/>
      <c r="T169" s="44"/>
      <c r="U169" s="42"/>
      <c r="V169" s="40"/>
      <c r="W169" s="40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</row>
    <row r="170" spans="1:36" x14ac:dyDescent="0.25">
      <c r="A170" s="39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28"/>
      <c r="N170" s="41"/>
      <c r="O170" s="40"/>
      <c r="P170" s="42"/>
      <c r="Q170" s="40"/>
      <c r="R170" s="43"/>
      <c r="S170" s="40"/>
      <c r="T170" s="44"/>
      <c r="U170" s="42"/>
      <c r="V170" s="40"/>
      <c r="W170" s="40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</row>
    <row r="171" spans="1:36" x14ac:dyDescent="0.25">
      <c r="A171" s="39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28"/>
      <c r="N171" s="41"/>
      <c r="O171" s="40"/>
      <c r="P171" s="42"/>
      <c r="Q171" s="40"/>
      <c r="R171" s="43"/>
      <c r="S171" s="40"/>
      <c r="T171" s="44"/>
      <c r="U171" s="42"/>
      <c r="V171" s="40"/>
      <c r="W171" s="40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</row>
    <row r="172" spans="1:36" x14ac:dyDescent="0.25">
      <c r="A172" s="39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28"/>
      <c r="N172" s="41"/>
      <c r="O172" s="40"/>
      <c r="P172" s="42"/>
      <c r="Q172" s="40"/>
      <c r="R172" s="43"/>
      <c r="S172" s="40"/>
      <c r="T172" s="44"/>
      <c r="U172" s="42"/>
      <c r="V172" s="40"/>
      <c r="W172" s="40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</row>
    <row r="173" spans="1:36" x14ac:dyDescent="0.25">
      <c r="A173" s="39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28"/>
      <c r="N173" s="41"/>
      <c r="O173" s="40"/>
      <c r="P173" s="42"/>
      <c r="Q173" s="40"/>
      <c r="R173" s="43"/>
      <c r="S173" s="40"/>
      <c r="T173" s="44"/>
      <c r="U173" s="42"/>
      <c r="V173" s="40"/>
      <c r="W173" s="40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</row>
    <row r="174" spans="1:36" x14ac:dyDescent="0.25">
      <c r="A174" s="39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28"/>
      <c r="N174" s="41"/>
      <c r="O174" s="40"/>
      <c r="P174" s="42"/>
      <c r="Q174" s="40"/>
      <c r="R174" s="43"/>
      <c r="S174" s="40"/>
      <c r="T174" s="44"/>
      <c r="U174" s="42"/>
      <c r="V174" s="40"/>
      <c r="W174" s="40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</row>
    <row r="175" spans="1:36" x14ac:dyDescent="0.25">
      <c r="A175" s="39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28"/>
      <c r="N175" s="41"/>
      <c r="O175" s="40"/>
      <c r="P175" s="42"/>
      <c r="Q175" s="40"/>
      <c r="R175" s="43"/>
      <c r="S175" s="40"/>
      <c r="T175" s="44"/>
      <c r="U175" s="42"/>
      <c r="V175" s="40"/>
      <c r="W175" s="40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</row>
    <row r="176" spans="1:36" x14ac:dyDescent="0.25">
      <c r="A176" s="39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28"/>
      <c r="N176" s="41"/>
      <c r="O176" s="40"/>
      <c r="P176" s="42"/>
      <c r="Q176" s="40"/>
      <c r="R176" s="43"/>
      <c r="S176" s="40"/>
      <c r="T176" s="44"/>
      <c r="U176" s="42"/>
      <c r="V176" s="40"/>
      <c r="W176" s="40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</row>
    <row r="177" spans="1:36" x14ac:dyDescent="0.25">
      <c r="A177" s="39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28"/>
      <c r="N177" s="41"/>
      <c r="O177" s="40"/>
      <c r="P177" s="42"/>
      <c r="Q177" s="40"/>
      <c r="R177" s="43"/>
      <c r="S177" s="40"/>
      <c r="T177" s="44"/>
      <c r="U177" s="42"/>
      <c r="V177" s="40"/>
      <c r="W177" s="40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</row>
    <row r="178" spans="1:36" x14ac:dyDescent="0.25">
      <c r="A178" s="39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28"/>
      <c r="N178" s="41"/>
      <c r="O178" s="40"/>
      <c r="P178" s="42"/>
      <c r="Q178" s="40"/>
      <c r="R178" s="43"/>
      <c r="S178" s="40"/>
      <c r="T178" s="44"/>
      <c r="U178" s="42"/>
      <c r="V178" s="40"/>
      <c r="W178" s="40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</row>
    <row r="179" spans="1:36" x14ac:dyDescent="0.25">
      <c r="A179" s="39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28"/>
      <c r="N179" s="41"/>
      <c r="O179" s="40"/>
      <c r="P179" s="42"/>
      <c r="Q179" s="40"/>
      <c r="R179" s="43"/>
      <c r="S179" s="40"/>
      <c r="T179" s="44"/>
      <c r="U179" s="42"/>
      <c r="V179" s="40"/>
      <c r="W179" s="40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</row>
    <row r="180" spans="1:36" x14ac:dyDescent="0.25">
      <c r="A180" s="39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28"/>
      <c r="N180" s="41"/>
      <c r="O180" s="40"/>
      <c r="P180" s="42"/>
      <c r="Q180" s="40"/>
      <c r="R180" s="43"/>
      <c r="S180" s="40"/>
      <c r="T180" s="44"/>
      <c r="U180" s="42"/>
      <c r="V180" s="40"/>
      <c r="W180" s="40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</row>
    <row r="181" spans="1:36" x14ac:dyDescent="0.25">
      <c r="A181" s="39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28"/>
      <c r="N181" s="41"/>
      <c r="O181" s="40"/>
      <c r="P181" s="42"/>
      <c r="Q181" s="40"/>
      <c r="R181" s="43"/>
      <c r="S181" s="40"/>
      <c r="T181" s="44"/>
      <c r="U181" s="42"/>
      <c r="V181" s="40"/>
      <c r="W181" s="40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</row>
    <row r="182" spans="1:36" x14ac:dyDescent="0.25">
      <c r="A182" s="39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28"/>
      <c r="N182" s="41"/>
      <c r="O182" s="40"/>
      <c r="P182" s="42"/>
      <c r="Q182" s="40"/>
      <c r="R182" s="43"/>
      <c r="S182" s="40"/>
      <c r="T182" s="44"/>
      <c r="U182" s="42"/>
      <c r="V182" s="40"/>
      <c r="W182" s="40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</row>
    <row r="183" spans="1:36" x14ac:dyDescent="0.25">
      <c r="A183" s="39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28"/>
      <c r="N183" s="41"/>
      <c r="O183" s="40"/>
      <c r="P183" s="42"/>
      <c r="Q183" s="40"/>
      <c r="R183" s="43"/>
      <c r="S183" s="40"/>
      <c r="T183" s="44"/>
      <c r="U183" s="42"/>
      <c r="V183" s="40"/>
      <c r="W183" s="40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</row>
    <row r="184" spans="1:36" x14ac:dyDescent="0.25">
      <c r="A184" s="39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28"/>
      <c r="N184" s="41"/>
      <c r="O184" s="40"/>
      <c r="P184" s="42"/>
      <c r="Q184" s="40"/>
      <c r="R184" s="43"/>
      <c r="S184" s="40"/>
      <c r="T184" s="44"/>
      <c r="U184" s="42"/>
      <c r="V184" s="40"/>
      <c r="W184" s="40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</row>
    <row r="185" spans="1:36" x14ac:dyDescent="0.25">
      <c r="A185" s="39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28"/>
      <c r="N185" s="41"/>
      <c r="O185" s="40"/>
      <c r="P185" s="42"/>
      <c r="Q185" s="40"/>
      <c r="R185" s="43"/>
      <c r="S185" s="40"/>
      <c r="T185" s="44"/>
      <c r="U185" s="42"/>
      <c r="V185" s="40"/>
      <c r="W185" s="40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</row>
    <row r="186" spans="1:36" x14ac:dyDescent="0.25">
      <c r="A186" s="39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28"/>
      <c r="N186" s="41"/>
      <c r="O186" s="40"/>
      <c r="P186" s="42"/>
      <c r="Q186" s="40"/>
      <c r="R186" s="43"/>
      <c r="S186" s="40"/>
      <c r="T186" s="44"/>
      <c r="U186" s="42"/>
      <c r="V186" s="40"/>
      <c r="W186" s="40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</row>
    <row r="187" spans="1:36" x14ac:dyDescent="0.25">
      <c r="A187" s="39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28"/>
      <c r="N187" s="41"/>
      <c r="O187" s="40"/>
      <c r="P187" s="42"/>
      <c r="Q187" s="40"/>
      <c r="R187" s="43"/>
      <c r="S187" s="40"/>
      <c r="T187" s="44"/>
      <c r="U187" s="42"/>
      <c r="V187" s="40"/>
      <c r="W187" s="40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</row>
    <row r="188" spans="1:36" x14ac:dyDescent="0.25">
      <c r="A188" s="39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28"/>
      <c r="N188" s="41"/>
      <c r="O188" s="40"/>
      <c r="P188" s="42"/>
      <c r="Q188" s="40"/>
      <c r="R188" s="43"/>
      <c r="S188" s="40"/>
      <c r="T188" s="44"/>
      <c r="U188" s="42"/>
      <c r="V188" s="40"/>
      <c r="W188" s="40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</row>
    <row r="189" spans="1:36" x14ac:dyDescent="0.25">
      <c r="A189" s="39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28"/>
      <c r="N189" s="41"/>
      <c r="O189" s="40"/>
      <c r="P189" s="42"/>
      <c r="Q189" s="40"/>
      <c r="R189" s="43"/>
      <c r="S189" s="40"/>
      <c r="T189" s="44"/>
      <c r="U189" s="42"/>
      <c r="V189" s="40"/>
      <c r="W189" s="40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</row>
    <row r="190" spans="1:36" x14ac:dyDescent="0.25">
      <c r="A190" s="39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28"/>
      <c r="N190" s="41"/>
      <c r="O190" s="40"/>
      <c r="P190" s="42"/>
      <c r="Q190" s="40"/>
      <c r="R190" s="43"/>
      <c r="S190" s="40"/>
      <c r="T190" s="44"/>
      <c r="U190" s="42"/>
      <c r="V190" s="40"/>
      <c r="W190" s="40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</row>
    <row r="191" spans="1:36" x14ac:dyDescent="0.25">
      <c r="A191" s="39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28"/>
      <c r="N191" s="41"/>
      <c r="O191" s="40"/>
      <c r="P191" s="42"/>
      <c r="Q191" s="40"/>
      <c r="R191" s="43"/>
      <c r="S191" s="40"/>
      <c r="T191" s="44"/>
      <c r="U191" s="42"/>
      <c r="V191" s="40"/>
      <c r="W191" s="40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</row>
    <row r="192" spans="1:36" x14ac:dyDescent="0.25">
      <c r="A192" s="39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28"/>
      <c r="N192" s="41"/>
      <c r="O192" s="40"/>
      <c r="P192" s="42"/>
      <c r="Q192" s="40"/>
      <c r="R192" s="43"/>
      <c r="S192" s="40"/>
      <c r="T192" s="44"/>
      <c r="U192" s="42"/>
      <c r="V192" s="40"/>
      <c r="W192" s="40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</row>
    <row r="193" spans="1:36" x14ac:dyDescent="0.25">
      <c r="A193" s="39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28"/>
      <c r="N193" s="41"/>
      <c r="O193" s="40"/>
      <c r="P193" s="42"/>
      <c r="Q193" s="40"/>
      <c r="R193" s="43"/>
      <c r="S193" s="40"/>
      <c r="T193" s="44"/>
      <c r="U193" s="42"/>
      <c r="V193" s="40"/>
      <c r="W193" s="40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</row>
    <row r="194" spans="1:36" x14ac:dyDescent="0.25">
      <c r="A194" s="39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28"/>
      <c r="N194" s="41"/>
      <c r="O194" s="40"/>
      <c r="P194" s="42"/>
      <c r="Q194" s="40"/>
      <c r="R194" s="43"/>
      <c r="S194" s="40"/>
      <c r="T194" s="44"/>
      <c r="U194" s="42"/>
      <c r="V194" s="40"/>
      <c r="W194" s="40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</row>
    <row r="195" spans="1:36" x14ac:dyDescent="0.25">
      <c r="A195" s="39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28"/>
      <c r="N195" s="41"/>
      <c r="O195" s="40"/>
      <c r="P195" s="42"/>
      <c r="Q195" s="40"/>
      <c r="R195" s="43"/>
      <c r="S195" s="40"/>
      <c r="T195" s="44"/>
      <c r="U195" s="42"/>
      <c r="V195" s="40"/>
      <c r="W195" s="40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</row>
    <row r="196" spans="1:36" x14ac:dyDescent="0.25">
      <c r="A196" s="39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28"/>
      <c r="N196" s="41"/>
      <c r="O196" s="40"/>
      <c r="P196" s="42"/>
      <c r="Q196" s="40"/>
      <c r="R196" s="43"/>
      <c r="S196" s="40"/>
      <c r="T196" s="44"/>
      <c r="U196" s="42"/>
      <c r="V196" s="40"/>
      <c r="W196" s="40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</row>
    <row r="197" spans="1:36" x14ac:dyDescent="0.25">
      <c r="A197" s="39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28"/>
      <c r="N197" s="41"/>
      <c r="O197" s="40"/>
      <c r="P197" s="42"/>
      <c r="Q197" s="40"/>
      <c r="R197" s="43"/>
      <c r="S197" s="40"/>
      <c r="T197" s="44"/>
      <c r="U197" s="42"/>
      <c r="V197" s="40"/>
      <c r="W197" s="40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</row>
    <row r="198" spans="1:36" x14ac:dyDescent="0.25">
      <c r="A198" s="39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28"/>
      <c r="N198" s="41"/>
      <c r="O198" s="40"/>
      <c r="P198" s="42"/>
      <c r="Q198" s="40"/>
      <c r="R198" s="43"/>
      <c r="S198" s="40"/>
      <c r="T198" s="44"/>
      <c r="U198" s="42"/>
      <c r="V198" s="40"/>
      <c r="W198" s="40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</row>
    <row r="199" spans="1:36" x14ac:dyDescent="0.25">
      <c r="A199" s="39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28"/>
      <c r="N199" s="41"/>
      <c r="O199" s="40"/>
      <c r="P199" s="42"/>
      <c r="Q199" s="40"/>
      <c r="R199" s="43"/>
      <c r="S199" s="40"/>
      <c r="T199" s="44"/>
      <c r="U199" s="42"/>
      <c r="V199" s="40"/>
      <c r="W199" s="40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</row>
    <row r="200" spans="1:36" x14ac:dyDescent="0.25">
      <c r="A200" s="39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28"/>
      <c r="N200" s="41"/>
      <c r="O200" s="40"/>
      <c r="P200" s="42"/>
      <c r="Q200" s="40"/>
      <c r="R200" s="43"/>
      <c r="S200" s="40"/>
      <c r="T200" s="44"/>
      <c r="U200" s="42"/>
      <c r="V200" s="40"/>
      <c r="W200" s="40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</row>
    <row r="201" spans="1:36" x14ac:dyDescent="0.25">
      <c r="A201" s="39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28"/>
      <c r="N201" s="41"/>
      <c r="O201" s="40"/>
      <c r="P201" s="42"/>
      <c r="Q201" s="40"/>
      <c r="R201" s="43"/>
      <c r="S201" s="40"/>
      <c r="T201" s="44"/>
      <c r="U201" s="42"/>
      <c r="V201" s="40"/>
      <c r="W201" s="40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</row>
    <row r="202" spans="1:36" x14ac:dyDescent="0.25">
      <c r="A202" s="39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28"/>
      <c r="N202" s="41"/>
      <c r="O202" s="40"/>
      <c r="P202" s="42"/>
      <c r="Q202" s="40"/>
      <c r="R202" s="43"/>
      <c r="S202" s="40"/>
      <c r="T202" s="44"/>
      <c r="U202" s="42"/>
      <c r="V202" s="40"/>
      <c r="W202" s="40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</row>
    <row r="203" spans="1:36" x14ac:dyDescent="0.25">
      <c r="A203" s="39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28"/>
      <c r="N203" s="41"/>
      <c r="O203" s="40"/>
      <c r="P203" s="42"/>
      <c r="Q203" s="40"/>
      <c r="R203" s="43"/>
      <c r="S203" s="40"/>
      <c r="T203" s="44"/>
      <c r="U203" s="42"/>
      <c r="V203" s="40"/>
      <c r="W203" s="40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</row>
    <row r="204" spans="1:36" x14ac:dyDescent="0.25">
      <c r="A204" s="39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28"/>
      <c r="N204" s="41"/>
      <c r="O204" s="40"/>
      <c r="P204" s="42"/>
      <c r="Q204" s="40"/>
      <c r="R204" s="43"/>
      <c r="S204" s="40"/>
      <c r="T204" s="44"/>
      <c r="U204" s="42"/>
      <c r="V204" s="40"/>
      <c r="W204" s="40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</row>
    <row r="205" spans="1:36" x14ac:dyDescent="0.25">
      <c r="A205" s="39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28"/>
      <c r="N205" s="41"/>
      <c r="O205" s="40"/>
      <c r="P205" s="42"/>
      <c r="Q205" s="40"/>
      <c r="R205" s="43"/>
      <c r="S205" s="40"/>
      <c r="T205" s="44"/>
      <c r="U205" s="42"/>
      <c r="V205" s="40"/>
      <c r="W205" s="40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</row>
    <row r="206" spans="1:36" x14ac:dyDescent="0.25">
      <c r="A206" s="39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28"/>
      <c r="N206" s="41"/>
      <c r="O206" s="40"/>
      <c r="P206" s="42"/>
      <c r="Q206" s="40"/>
      <c r="R206" s="43"/>
      <c r="S206" s="40"/>
      <c r="T206" s="44"/>
      <c r="U206" s="42"/>
      <c r="V206" s="40"/>
      <c r="W206" s="40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</row>
    <row r="207" spans="1:36" x14ac:dyDescent="0.25">
      <c r="A207" s="39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28"/>
      <c r="N207" s="41"/>
      <c r="O207" s="40"/>
      <c r="P207" s="42"/>
      <c r="Q207" s="40"/>
      <c r="R207" s="43"/>
      <c r="S207" s="40"/>
      <c r="T207" s="44"/>
      <c r="U207" s="42"/>
      <c r="V207" s="40"/>
      <c r="W207" s="40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</row>
    <row r="208" spans="1:36" x14ac:dyDescent="0.25">
      <c r="A208" s="39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28"/>
      <c r="N208" s="41"/>
      <c r="O208" s="40"/>
      <c r="P208" s="42"/>
      <c r="Q208" s="40"/>
      <c r="R208" s="43"/>
      <c r="S208" s="40"/>
      <c r="T208" s="44"/>
      <c r="U208" s="42"/>
      <c r="V208" s="40"/>
      <c r="W208" s="40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</row>
    <row r="209" spans="1:36" x14ac:dyDescent="0.25">
      <c r="A209" s="39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28"/>
      <c r="N209" s="41"/>
      <c r="O209" s="40"/>
      <c r="P209" s="42"/>
      <c r="Q209" s="40"/>
      <c r="R209" s="43"/>
      <c r="S209" s="40"/>
      <c r="T209" s="44"/>
      <c r="U209" s="42"/>
      <c r="V209" s="40"/>
      <c r="W209" s="40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</row>
    <row r="210" spans="1:36" x14ac:dyDescent="0.25">
      <c r="A210" s="39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28"/>
      <c r="N210" s="41"/>
      <c r="O210" s="40"/>
      <c r="P210" s="42"/>
      <c r="Q210" s="40"/>
      <c r="R210" s="43"/>
      <c r="S210" s="40"/>
      <c r="T210" s="44"/>
      <c r="U210" s="42"/>
      <c r="V210" s="40"/>
      <c r="W210" s="40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</row>
    <row r="211" spans="1:36" x14ac:dyDescent="0.25">
      <c r="A211" s="39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28"/>
      <c r="N211" s="41"/>
      <c r="O211" s="40"/>
      <c r="P211" s="42"/>
      <c r="Q211" s="40"/>
      <c r="R211" s="43"/>
      <c r="S211" s="40"/>
      <c r="T211" s="44"/>
      <c r="U211" s="42"/>
      <c r="V211" s="40"/>
      <c r="W211" s="40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</row>
    <row r="212" spans="1:36" x14ac:dyDescent="0.25">
      <c r="A212" s="39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28"/>
      <c r="N212" s="41"/>
      <c r="O212" s="40"/>
      <c r="P212" s="42"/>
      <c r="Q212" s="40"/>
      <c r="R212" s="43"/>
      <c r="S212" s="40"/>
      <c r="T212" s="44"/>
      <c r="U212" s="42"/>
      <c r="V212" s="40"/>
      <c r="W212" s="40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</row>
    <row r="213" spans="1:36" x14ac:dyDescent="0.25">
      <c r="A213" s="39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28"/>
      <c r="N213" s="41"/>
      <c r="O213" s="40"/>
      <c r="P213" s="42"/>
      <c r="Q213" s="40"/>
      <c r="R213" s="43"/>
      <c r="S213" s="40"/>
      <c r="T213" s="44"/>
      <c r="U213" s="42"/>
      <c r="V213" s="40"/>
      <c r="W213" s="40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</row>
    <row r="214" spans="1:36" x14ac:dyDescent="0.25">
      <c r="A214" s="39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28"/>
      <c r="N214" s="41"/>
      <c r="O214" s="40"/>
      <c r="P214" s="42"/>
      <c r="Q214" s="40"/>
      <c r="R214" s="43"/>
      <c r="S214" s="40"/>
      <c r="T214" s="44"/>
      <c r="U214" s="42"/>
      <c r="V214" s="40"/>
      <c r="W214" s="40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</row>
    <row r="215" spans="1:36" x14ac:dyDescent="0.25">
      <c r="A215" s="39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28"/>
      <c r="N215" s="41"/>
      <c r="O215" s="40"/>
      <c r="P215" s="42"/>
      <c r="Q215" s="40"/>
      <c r="R215" s="43"/>
      <c r="S215" s="40"/>
      <c r="T215" s="44"/>
      <c r="U215" s="42"/>
      <c r="V215" s="40"/>
      <c r="W215" s="40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</row>
    <row r="216" spans="1:36" x14ac:dyDescent="0.25">
      <c r="A216" s="39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28"/>
      <c r="N216" s="41"/>
      <c r="O216" s="40"/>
      <c r="P216" s="42"/>
      <c r="Q216" s="40"/>
      <c r="R216" s="43"/>
      <c r="S216" s="40"/>
      <c r="T216" s="44"/>
      <c r="U216" s="42"/>
      <c r="V216" s="40"/>
      <c r="W216" s="40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</row>
    <row r="217" spans="1:36" x14ac:dyDescent="0.25">
      <c r="A217" s="39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28"/>
      <c r="N217" s="41"/>
      <c r="O217" s="40"/>
      <c r="P217" s="42"/>
      <c r="Q217" s="40"/>
      <c r="R217" s="43"/>
      <c r="S217" s="40"/>
      <c r="T217" s="44"/>
      <c r="U217" s="42"/>
      <c r="V217" s="40"/>
      <c r="W217" s="40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</row>
    <row r="218" spans="1:36" x14ac:dyDescent="0.25">
      <c r="A218" s="39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28"/>
      <c r="N218" s="41"/>
      <c r="O218" s="40"/>
      <c r="P218" s="42"/>
      <c r="Q218" s="40"/>
      <c r="R218" s="43"/>
      <c r="S218" s="40"/>
      <c r="T218" s="44"/>
      <c r="U218" s="42"/>
      <c r="V218" s="40"/>
      <c r="W218" s="40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</row>
    <row r="219" spans="1:36" x14ac:dyDescent="0.25">
      <c r="A219" s="39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28"/>
      <c r="N219" s="41"/>
      <c r="O219" s="40"/>
      <c r="P219" s="42"/>
      <c r="Q219" s="40"/>
      <c r="R219" s="43"/>
      <c r="S219" s="40"/>
      <c r="T219" s="44"/>
      <c r="U219" s="42"/>
      <c r="V219" s="40"/>
      <c r="W219" s="40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</row>
    <row r="220" spans="1:36" x14ac:dyDescent="0.25">
      <c r="A220" s="39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28"/>
      <c r="N220" s="41"/>
      <c r="O220" s="40"/>
      <c r="P220" s="42"/>
      <c r="Q220" s="40"/>
      <c r="R220" s="43"/>
      <c r="S220" s="40"/>
      <c r="T220" s="44"/>
      <c r="U220" s="42"/>
      <c r="V220" s="40"/>
      <c r="W220" s="40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</row>
    <row r="221" spans="1:36" x14ac:dyDescent="0.25">
      <c r="A221" s="39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28"/>
      <c r="N221" s="41"/>
      <c r="O221" s="40"/>
      <c r="P221" s="42"/>
      <c r="Q221" s="40"/>
      <c r="R221" s="43"/>
      <c r="S221" s="40"/>
      <c r="T221" s="44"/>
      <c r="U221" s="42"/>
      <c r="V221" s="40"/>
      <c r="W221" s="40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</row>
    <row r="222" spans="1:36" x14ac:dyDescent="0.25">
      <c r="A222" s="39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28"/>
      <c r="N222" s="41"/>
      <c r="O222" s="40"/>
      <c r="P222" s="42"/>
      <c r="Q222" s="40"/>
      <c r="R222" s="43"/>
      <c r="S222" s="40"/>
      <c r="T222" s="44"/>
      <c r="U222" s="42"/>
      <c r="V222" s="40"/>
      <c r="W222" s="40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</row>
    <row r="223" spans="1:36" x14ac:dyDescent="0.25">
      <c r="A223" s="39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28"/>
      <c r="N223" s="41"/>
      <c r="O223" s="40"/>
      <c r="P223" s="42"/>
      <c r="Q223" s="40"/>
      <c r="R223" s="43"/>
      <c r="S223" s="40"/>
      <c r="T223" s="44"/>
      <c r="U223" s="42"/>
      <c r="V223" s="40"/>
      <c r="W223" s="40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</row>
    <row r="224" spans="1:36" x14ac:dyDescent="0.25">
      <c r="A224" s="39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28"/>
      <c r="N224" s="41"/>
      <c r="O224" s="40"/>
      <c r="P224" s="42"/>
      <c r="Q224" s="40"/>
      <c r="R224" s="43"/>
      <c r="S224" s="40"/>
      <c r="T224" s="44"/>
      <c r="U224" s="42"/>
      <c r="V224" s="40"/>
      <c r="W224" s="40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</row>
    <row r="225" spans="1:36" x14ac:dyDescent="0.25">
      <c r="A225" s="39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28"/>
      <c r="N225" s="41"/>
      <c r="O225" s="40"/>
      <c r="P225" s="42"/>
      <c r="Q225" s="40"/>
      <c r="R225" s="43"/>
      <c r="S225" s="40"/>
      <c r="T225" s="44"/>
      <c r="U225" s="42"/>
      <c r="V225" s="40"/>
      <c r="W225" s="40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</row>
    <row r="226" spans="1:36" x14ac:dyDescent="0.25">
      <c r="A226" s="39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28"/>
      <c r="N226" s="41"/>
      <c r="O226" s="40"/>
      <c r="P226" s="42"/>
      <c r="Q226" s="40"/>
      <c r="R226" s="43"/>
      <c r="S226" s="40"/>
      <c r="T226" s="44"/>
      <c r="U226" s="42"/>
      <c r="V226" s="40"/>
      <c r="W226" s="40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</row>
    <row r="227" spans="1:36" x14ac:dyDescent="0.25">
      <c r="A227" s="39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28"/>
      <c r="N227" s="41"/>
      <c r="O227" s="40"/>
      <c r="P227" s="42"/>
      <c r="Q227" s="40"/>
      <c r="R227" s="43"/>
      <c r="S227" s="40"/>
      <c r="T227" s="44"/>
      <c r="U227" s="42"/>
      <c r="V227" s="40"/>
      <c r="W227" s="40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</row>
    <row r="228" spans="1:36" x14ac:dyDescent="0.25">
      <c r="A228" s="39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28"/>
      <c r="N228" s="41"/>
      <c r="O228" s="40"/>
      <c r="P228" s="42"/>
      <c r="Q228" s="40"/>
      <c r="R228" s="43"/>
      <c r="S228" s="40"/>
      <c r="T228" s="44"/>
      <c r="U228" s="42"/>
      <c r="V228" s="40"/>
      <c r="W228" s="40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</row>
    <row r="229" spans="1:36" x14ac:dyDescent="0.25">
      <c r="A229" s="39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28"/>
      <c r="N229" s="41"/>
      <c r="O229" s="40"/>
      <c r="P229" s="42"/>
      <c r="Q229" s="40"/>
      <c r="R229" s="43"/>
      <c r="S229" s="40"/>
      <c r="T229" s="44"/>
      <c r="U229" s="42"/>
      <c r="V229" s="40"/>
      <c r="W229" s="40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</row>
    <row r="230" spans="1:36" x14ac:dyDescent="0.25">
      <c r="A230" s="39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28"/>
      <c r="N230" s="41"/>
      <c r="O230" s="40"/>
      <c r="P230" s="42"/>
      <c r="Q230" s="40"/>
      <c r="R230" s="43"/>
      <c r="S230" s="40"/>
      <c r="T230" s="44"/>
      <c r="U230" s="42"/>
      <c r="V230" s="40"/>
      <c r="W230" s="40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</row>
    <row r="231" spans="1:36" x14ac:dyDescent="0.25">
      <c r="A231" s="39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28"/>
      <c r="N231" s="41"/>
      <c r="O231" s="40"/>
      <c r="P231" s="42"/>
      <c r="Q231" s="40"/>
      <c r="R231" s="43"/>
      <c r="S231" s="40"/>
      <c r="T231" s="44"/>
      <c r="U231" s="42"/>
      <c r="V231" s="40"/>
      <c r="W231" s="40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</row>
    <row r="232" spans="1:36" x14ac:dyDescent="0.25">
      <c r="A232" s="39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28"/>
      <c r="N232" s="41"/>
      <c r="O232" s="40"/>
      <c r="P232" s="42"/>
      <c r="Q232" s="40"/>
      <c r="R232" s="43"/>
      <c r="S232" s="40"/>
      <c r="T232" s="44"/>
      <c r="U232" s="42"/>
      <c r="V232" s="40"/>
      <c r="W232" s="40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</row>
    <row r="233" spans="1:36" x14ac:dyDescent="0.25">
      <c r="A233" s="39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28"/>
      <c r="N233" s="41"/>
      <c r="O233" s="40"/>
      <c r="P233" s="42"/>
      <c r="Q233" s="40"/>
      <c r="R233" s="43"/>
      <c r="S233" s="40"/>
      <c r="T233" s="44"/>
      <c r="U233" s="42"/>
      <c r="V233" s="40"/>
      <c r="W233" s="40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</row>
    <row r="234" spans="1:36" x14ac:dyDescent="0.25">
      <c r="A234" s="39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28"/>
      <c r="N234" s="41"/>
      <c r="O234" s="40"/>
      <c r="P234" s="42"/>
      <c r="Q234" s="40"/>
      <c r="R234" s="43"/>
      <c r="S234" s="40"/>
      <c r="T234" s="44"/>
      <c r="U234" s="42"/>
      <c r="V234" s="40"/>
      <c r="W234" s="40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</row>
    <row r="235" spans="1:36" x14ac:dyDescent="0.25">
      <c r="A235" s="39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28"/>
      <c r="N235" s="41"/>
      <c r="O235" s="40"/>
      <c r="P235" s="42"/>
      <c r="Q235" s="40"/>
      <c r="R235" s="43"/>
      <c r="S235" s="40"/>
      <c r="T235" s="44"/>
      <c r="U235" s="42"/>
      <c r="V235" s="40"/>
      <c r="W235" s="40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</row>
    <row r="236" spans="1:36" x14ac:dyDescent="0.25">
      <c r="A236" s="39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28"/>
      <c r="N236" s="41"/>
      <c r="O236" s="40"/>
      <c r="P236" s="42"/>
      <c r="Q236" s="40"/>
      <c r="R236" s="43"/>
      <c r="S236" s="40"/>
      <c r="T236" s="44"/>
      <c r="U236" s="42"/>
      <c r="V236" s="40"/>
      <c r="W236" s="40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</row>
    <row r="237" spans="1:36" x14ac:dyDescent="0.25">
      <c r="A237" s="39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28"/>
      <c r="N237" s="41"/>
      <c r="O237" s="40"/>
      <c r="P237" s="42"/>
      <c r="Q237" s="40"/>
      <c r="R237" s="43"/>
      <c r="S237" s="40"/>
      <c r="T237" s="44"/>
      <c r="U237" s="42"/>
      <c r="V237" s="40"/>
      <c r="W237" s="40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</row>
    <row r="238" spans="1:36" x14ac:dyDescent="0.25">
      <c r="A238" s="39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28"/>
      <c r="N238" s="41"/>
      <c r="O238" s="40"/>
      <c r="P238" s="42"/>
      <c r="Q238" s="40"/>
      <c r="R238" s="43"/>
      <c r="S238" s="40"/>
      <c r="T238" s="44"/>
      <c r="U238" s="42"/>
      <c r="V238" s="40"/>
      <c r="W238" s="40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</row>
    <row r="239" spans="1:36" x14ac:dyDescent="0.25">
      <c r="A239" s="39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28"/>
      <c r="N239" s="41"/>
      <c r="O239" s="40"/>
      <c r="P239" s="42"/>
      <c r="Q239" s="40"/>
      <c r="R239" s="43"/>
      <c r="S239" s="40"/>
      <c r="T239" s="44"/>
      <c r="U239" s="42"/>
      <c r="V239" s="40"/>
      <c r="W239" s="40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</row>
    <row r="240" spans="1:36" x14ac:dyDescent="0.25">
      <c r="A240" s="39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28"/>
      <c r="N240" s="41"/>
      <c r="O240" s="40"/>
      <c r="P240" s="42"/>
      <c r="Q240" s="40"/>
      <c r="R240" s="43"/>
      <c r="S240" s="40"/>
      <c r="T240" s="44"/>
      <c r="U240" s="42"/>
      <c r="V240" s="40"/>
      <c r="W240" s="40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</row>
    <row r="241" spans="1:36" x14ac:dyDescent="0.25">
      <c r="A241" s="39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28"/>
      <c r="N241" s="41"/>
      <c r="O241" s="40"/>
      <c r="P241" s="42"/>
      <c r="Q241" s="40"/>
      <c r="R241" s="43"/>
      <c r="S241" s="40"/>
      <c r="T241" s="44"/>
      <c r="U241" s="42"/>
      <c r="V241" s="40"/>
      <c r="W241" s="40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</row>
    <row r="242" spans="1:36" x14ac:dyDescent="0.25">
      <c r="A242" s="39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28"/>
      <c r="N242" s="41"/>
      <c r="O242" s="40"/>
      <c r="P242" s="42"/>
      <c r="Q242" s="40"/>
      <c r="R242" s="43"/>
      <c r="S242" s="40"/>
      <c r="T242" s="44"/>
      <c r="U242" s="42"/>
      <c r="V242" s="40"/>
      <c r="W242" s="40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</row>
    <row r="243" spans="1:36" x14ac:dyDescent="0.25">
      <c r="A243" s="39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28"/>
      <c r="N243" s="41"/>
      <c r="O243" s="40"/>
      <c r="P243" s="42"/>
      <c r="Q243" s="40"/>
      <c r="R243" s="43"/>
      <c r="S243" s="40"/>
      <c r="T243" s="44"/>
      <c r="U243" s="42"/>
      <c r="V243" s="40"/>
      <c r="W243" s="40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</row>
    <row r="244" spans="1:36" x14ac:dyDescent="0.25">
      <c r="A244" s="39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28"/>
      <c r="N244" s="41"/>
      <c r="O244" s="40"/>
      <c r="P244" s="42"/>
      <c r="Q244" s="40"/>
      <c r="R244" s="43"/>
      <c r="S244" s="40"/>
      <c r="T244" s="44"/>
      <c r="U244" s="42"/>
      <c r="V244" s="40"/>
      <c r="W244" s="40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</row>
    <row r="245" spans="1:36" x14ac:dyDescent="0.25">
      <c r="A245" s="39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28"/>
      <c r="N245" s="41"/>
      <c r="O245" s="40"/>
      <c r="P245" s="42"/>
      <c r="Q245" s="40"/>
      <c r="R245" s="43"/>
      <c r="S245" s="40"/>
      <c r="T245" s="44"/>
      <c r="U245" s="42"/>
      <c r="V245" s="40"/>
      <c r="W245" s="40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</row>
    <row r="246" spans="1:36" x14ac:dyDescent="0.25">
      <c r="A246" s="39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28"/>
      <c r="N246" s="41"/>
      <c r="O246" s="40"/>
      <c r="P246" s="42"/>
      <c r="Q246" s="40"/>
      <c r="R246" s="43"/>
      <c r="S246" s="40"/>
      <c r="T246" s="44"/>
      <c r="U246" s="42"/>
      <c r="V246" s="40"/>
      <c r="W246" s="40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</row>
    <row r="247" spans="1:36" x14ac:dyDescent="0.25">
      <c r="A247" s="39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28"/>
      <c r="N247" s="41"/>
      <c r="O247" s="40"/>
      <c r="P247" s="42"/>
      <c r="Q247" s="40"/>
      <c r="R247" s="43"/>
      <c r="S247" s="40"/>
      <c r="T247" s="44"/>
      <c r="U247" s="42"/>
      <c r="V247" s="40"/>
      <c r="W247" s="40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</row>
    <row r="248" spans="1:36" x14ac:dyDescent="0.25">
      <c r="A248" s="39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28"/>
      <c r="N248" s="41"/>
      <c r="O248" s="40"/>
      <c r="P248" s="42"/>
      <c r="Q248" s="40"/>
      <c r="R248" s="43"/>
      <c r="S248" s="40"/>
      <c r="T248" s="44"/>
      <c r="U248" s="42"/>
      <c r="V248" s="40"/>
      <c r="W248" s="40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</row>
    <row r="249" spans="1:36" x14ac:dyDescent="0.25">
      <c r="A249" s="39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28"/>
      <c r="N249" s="41"/>
      <c r="O249" s="40"/>
      <c r="P249" s="42"/>
      <c r="Q249" s="40"/>
      <c r="R249" s="43"/>
      <c r="S249" s="40"/>
      <c r="T249" s="44"/>
      <c r="U249" s="42"/>
      <c r="V249" s="40"/>
      <c r="W249" s="40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</row>
    <row r="250" spans="1:36" x14ac:dyDescent="0.25">
      <c r="A250" s="39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28"/>
      <c r="N250" s="41"/>
      <c r="O250" s="40"/>
      <c r="P250" s="42"/>
      <c r="Q250" s="40"/>
      <c r="R250" s="43"/>
      <c r="S250" s="40"/>
      <c r="T250" s="44"/>
      <c r="U250" s="42"/>
      <c r="V250" s="40"/>
      <c r="W250" s="40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</row>
    <row r="251" spans="1:36" x14ac:dyDescent="0.25">
      <c r="A251" s="39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28"/>
      <c r="N251" s="41"/>
      <c r="O251" s="40"/>
      <c r="P251" s="42"/>
      <c r="Q251" s="40"/>
      <c r="R251" s="43"/>
      <c r="S251" s="40"/>
      <c r="T251" s="44"/>
      <c r="U251" s="42"/>
      <c r="V251" s="40"/>
      <c r="W251" s="40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</row>
    <row r="252" spans="1:36" x14ac:dyDescent="0.25">
      <c r="A252" s="39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28"/>
      <c r="N252" s="41"/>
      <c r="O252" s="40"/>
      <c r="P252" s="42"/>
      <c r="Q252" s="40"/>
      <c r="R252" s="43"/>
      <c r="S252" s="40"/>
      <c r="T252" s="44"/>
      <c r="U252" s="42"/>
      <c r="V252" s="40"/>
      <c r="W252" s="40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</row>
    <row r="253" spans="1:36" x14ac:dyDescent="0.25">
      <c r="A253" s="39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28"/>
      <c r="N253" s="41"/>
      <c r="O253" s="40"/>
      <c r="P253" s="42"/>
      <c r="Q253" s="40"/>
      <c r="R253" s="43"/>
      <c r="S253" s="40"/>
      <c r="T253" s="44"/>
      <c r="U253" s="42"/>
      <c r="V253" s="40"/>
      <c r="W253" s="40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</row>
    <row r="254" spans="1:36" x14ac:dyDescent="0.25">
      <c r="A254" s="39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28"/>
      <c r="N254" s="41"/>
      <c r="O254" s="40"/>
      <c r="P254" s="42"/>
      <c r="Q254" s="40"/>
      <c r="R254" s="43"/>
      <c r="S254" s="40"/>
      <c r="T254" s="44"/>
      <c r="U254" s="42"/>
      <c r="V254" s="40"/>
      <c r="W254" s="40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</row>
    <row r="255" spans="1:36" x14ac:dyDescent="0.25">
      <c r="A255" s="39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28"/>
      <c r="N255" s="41"/>
      <c r="O255" s="40"/>
      <c r="P255" s="42"/>
      <c r="Q255" s="40"/>
      <c r="R255" s="43"/>
      <c r="S255" s="40"/>
      <c r="T255" s="44"/>
      <c r="U255" s="42"/>
      <c r="V255" s="40"/>
      <c r="W255" s="40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</row>
    <row r="256" spans="1:36" x14ac:dyDescent="0.25">
      <c r="A256" s="39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28"/>
      <c r="N256" s="41"/>
      <c r="O256" s="40"/>
      <c r="P256" s="42"/>
      <c r="Q256" s="40"/>
      <c r="R256" s="43"/>
      <c r="S256" s="40"/>
      <c r="T256" s="44"/>
      <c r="U256" s="42"/>
      <c r="V256" s="40"/>
      <c r="W256" s="40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</row>
    <row r="257" spans="1:36" x14ac:dyDescent="0.25">
      <c r="A257" s="39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28"/>
      <c r="N257" s="41"/>
      <c r="O257" s="40"/>
      <c r="P257" s="42"/>
      <c r="Q257" s="40"/>
      <c r="R257" s="43"/>
      <c r="S257" s="40"/>
      <c r="T257" s="44"/>
      <c r="U257" s="42"/>
      <c r="V257" s="40"/>
      <c r="W257" s="40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</row>
    <row r="258" spans="1:36" x14ac:dyDescent="0.25">
      <c r="A258" s="39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28"/>
      <c r="N258" s="41"/>
      <c r="O258" s="40"/>
      <c r="P258" s="42"/>
      <c r="Q258" s="40"/>
      <c r="R258" s="43"/>
      <c r="S258" s="40"/>
      <c r="T258" s="44"/>
      <c r="U258" s="42"/>
      <c r="V258" s="40"/>
      <c r="W258" s="40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</row>
    <row r="259" spans="1:36" x14ac:dyDescent="0.25">
      <c r="A259" s="39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28"/>
      <c r="N259" s="41"/>
      <c r="O259" s="40"/>
      <c r="P259" s="42"/>
      <c r="Q259" s="40"/>
      <c r="R259" s="43"/>
      <c r="S259" s="40"/>
      <c r="T259" s="44"/>
      <c r="U259" s="42"/>
      <c r="V259" s="40"/>
      <c r="W259" s="40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</row>
    <row r="260" spans="1:36" x14ac:dyDescent="0.25">
      <c r="A260" s="39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28"/>
      <c r="N260" s="41"/>
      <c r="O260" s="40"/>
      <c r="P260" s="42"/>
      <c r="Q260" s="40"/>
      <c r="R260" s="43"/>
      <c r="S260" s="40"/>
      <c r="T260" s="44"/>
      <c r="U260" s="42"/>
      <c r="V260" s="40"/>
      <c r="W260" s="40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</row>
    <row r="261" spans="1:36" x14ac:dyDescent="0.25">
      <c r="A261" s="39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28"/>
      <c r="N261" s="41"/>
      <c r="O261" s="40"/>
      <c r="P261" s="42"/>
      <c r="Q261" s="40"/>
      <c r="R261" s="43"/>
      <c r="S261" s="40"/>
      <c r="T261" s="44"/>
      <c r="U261" s="42"/>
      <c r="V261" s="40"/>
      <c r="W261" s="40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</row>
    <row r="262" spans="1:36" x14ac:dyDescent="0.25">
      <c r="A262" s="39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28"/>
      <c r="N262" s="41"/>
      <c r="O262" s="40"/>
      <c r="P262" s="42"/>
      <c r="Q262" s="40"/>
      <c r="R262" s="43"/>
      <c r="S262" s="40"/>
      <c r="T262" s="44"/>
      <c r="U262" s="42"/>
      <c r="V262" s="40"/>
      <c r="W262" s="40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</row>
    <row r="263" spans="1:36" x14ac:dyDescent="0.25">
      <c r="A263" s="39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28"/>
      <c r="N263" s="41"/>
      <c r="O263" s="40"/>
      <c r="P263" s="42"/>
      <c r="Q263" s="40"/>
      <c r="R263" s="43"/>
      <c r="S263" s="40"/>
      <c r="T263" s="44"/>
      <c r="U263" s="42"/>
      <c r="V263" s="40"/>
      <c r="W263" s="40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</row>
    <row r="264" spans="1:36" x14ac:dyDescent="0.25">
      <c r="A264" s="39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28"/>
      <c r="N264" s="41"/>
      <c r="O264" s="40"/>
      <c r="P264" s="42"/>
      <c r="Q264" s="40"/>
      <c r="R264" s="43"/>
      <c r="S264" s="40"/>
      <c r="T264" s="44"/>
      <c r="U264" s="42"/>
      <c r="V264" s="40"/>
      <c r="W264" s="40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</row>
    <row r="265" spans="1:36" x14ac:dyDescent="0.25">
      <c r="A265" s="39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28"/>
      <c r="N265" s="41"/>
      <c r="O265" s="40"/>
      <c r="P265" s="42"/>
      <c r="Q265" s="40"/>
      <c r="R265" s="43"/>
      <c r="S265" s="40"/>
      <c r="T265" s="44"/>
      <c r="U265" s="42"/>
      <c r="V265" s="40"/>
      <c r="W265" s="40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</row>
    <row r="266" spans="1:36" x14ac:dyDescent="0.25">
      <c r="A266" s="39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28"/>
      <c r="N266" s="41"/>
      <c r="O266" s="40"/>
      <c r="P266" s="42"/>
      <c r="Q266" s="40"/>
      <c r="R266" s="43"/>
      <c r="S266" s="40"/>
      <c r="T266" s="44"/>
      <c r="U266" s="42"/>
      <c r="V266" s="40"/>
      <c r="W266" s="40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</row>
    <row r="267" spans="1:36" x14ac:dyDescent="0.25">
      <c r="A267" s="39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28"/>
      <c r="N267" s="41"/>
      <c r="O267" s="40"/>
      <c r="P267" s="42"/>
      <c r="Q267" s="40"/>
      <c r="R267" s="43"/>
      <c r="S267" s="40"/>
      <c r="T267" s="44"/>
      <c r="U267" s="42"/>
      <c r="V267" s="40"/>
      <c r="W267" s="40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</row>
    <row r="268" spans="1:36" x14ac:dyDescent="0.25">
      <c r="A268" s="39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28"/>
      <c r="N268" s="41"/>
      <c r="O268" s="40"/>
      <c r="P268" s="42"/>
      <c r="Q268" s="40"/>
      <c r="R268" s="43"/>
      <c r="S268" s="40"/>
      <c r="T268" s="44"/>
      <c r="U268" s="42"/>
      <c r="V268" s="40"/>
      <c r="W268" s="40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</row>
    <row r="269" spans="1:36" x14ac:dyDescent="0.25">
      <c r="A269" s="39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28"/>
      <c r="N269" s="41"/>
      <c r="O269" s="40"/>
      <c r="P269" s="42"/>
      <c r="Q269" s="40"/>
      <c r="R269" s="43"/>
      <c r="S269" s="40"/>
      <c r="T269" s="44"/>
      <c r="U269" s="42"/>
      <c r="V269" s="40"/>
      <c r="W269" s="40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</row>
    <row r="270" spans="1:36" x14ac:dyDescent="0.25">
      <c r="A270" s="39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28"/>
      <c r="N270" s="41"/>
      <c r="O270" s="40"/>
      <c r="P270" s="42"/>
      <c r="Q270" s="40"/>
      <c r="R270" s="43"/>
      <c r="S270" s="40"/>
      <c r="T270" s="44"/>
      <c r="U270" s="42"/>
      <c r="V270" s="40"/>
      <c r="W270" s="40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</row>
    <row r="271" spans="1:36" x14ac:dyDescent="0.25">
      <c r="A271" s="39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28"/>
      <c r="N271" s="41"/>
      <c r="O271" s="40"/>
      <c r="P271" s="42"/>
      <c r="Q271" s="40"/>
      <c r="R271" s="43"/>
      <c r="S271" s="40"/>
      <c r="T271" s="44"/>
      <c r="U271" s="42"/>
      <c r="V271" s="40"/>
      <c r="W271" s="40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</row>
    <row r="272" spans="1:36" x14ac:dyDescent="0.25">
      <c r="A272" s="39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28"/>
      <c r="N272" s="41"/>
      <c r="O272" s="40"/>
      <c r="P272" s="42"/>
      <c r="Q272" s="40"/>
      <c r="R272" s="43"/>
      <c r="S272" s="40"/>
      <c r="T272" s="44"/>
      <c r="U272" s="42"/>
      <c r="V272" s="40"/>
      <c r="W272" s="40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</row>
    <row r="273" spans="1:36" x14ac:dyDescent="0.25">
      <c r="A273" s="39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28"/>
      <c r="N273" s="41"/>
      <c r="O273" s="40"/>
      <c r="P273" s="42"/>
      <c r="Q273" s="40"/>
      <c r="R273" s="43"/>
      <c r="S273" s="40"/>
      <c r="T273" s="44"/>
      <c r="U273" s="42"/>
      <c r="V273" s="40"/>
      <c r="W273" s="40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</row>
    <row r="274" spans="1:36" x14ac:dyDescent="0.25">
      <c r="A274" s="39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28"/>
      <c r="N274" s="41"/>
      <c r="O274" s="40"/>
      <c r="P274" s="42"/>
      <c r="Q274" s="40"/>
      <c r="R274" s="43"/>
      <c r="S274" s="40"/>
      <c r="T274" s="44"/>
      <c r="U274" s="42"/>
      <c r="V274" s="40"/>
      <c r="W274" s="40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</row>
    <row r="275" spans="1:36" x14ac:dyDescent="0.25">
      <c r="A275" s="39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28"/>
      <c r="N275" s="41"/>
      <c r="O275" s="40"/>
      <c r="P275" s="42"/>
      <c r="Q275" s="40"/>
      <c r="R275" s="43"/>
      <c r="S275" s="40"/>
      <c r="T275" s="44"/>
      <c r="U275" s="42"/>
      <c r="V275" s="40"/>
      <c r="W275" s="40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</row>
    <row r="276" spans="1:36" x14ac:dyDescent="0.25">
      <c r="A276" s="39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28"/>
      <c r="N276" s="41"/>
      <c r="O276" s="40"/>
      <c r="P276" s="42"/>
      <c r="Q276" s="40"/>
      <c r="R276" s="43"/>
      <c r="S276" s="40"/>
      <c r="T276" s="44"/>
      <c r="U276" s="42"/>
      <c r="V276" s="40"/>
      <c r="W276" s="40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</row>
    <row r="277" spans="1:36" x14ac:dyDescent="0.25">
      <c r="A277" s="39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28"/>
      <c r="N277" s="41"/>
      <c r="O277" s="40"/>
      <c r="P277" s="42"/>
      <c r="Q277" s="40"/>
      <c r="R277" s="43"/>
      <c r="S277" s="40"/>
      <c r="T277" s="44"/>
      <c r="U277" s="42"/>
      <c r="V277" s="40"/>
      <c r="W277" s="40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</row>
    <row r="278" spans="1:36" x14ac:dyDescent="0.25">
      <c r="A278" s="39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28"/>
      <c r="N278" s="41"/>
      <c r="O278" s="40"/>
      <c r="P278" s="42"/>
      <c r="Q278" s="40"/>
      <c r="R278" s="43"/>
      <c r="S278" s="40"/>
      <c r="T278" s="44"/>
      <c r="U278" s="42"/>
      <c r="V278" s="40"/>
      <c r="W278" s="40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</row>
    <row r="279" spans="1:36" x14ac:dyDescent="0.25">
      <c r="A279" s="39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28"/>
      <c r="N279" s="41"/>
      <c r="O279" s="40"/>
      <c r="P279" s="42"/>
      <c r="Q279" s="40"/>
      <c r="R279" s="43"/>
      <c r="S279" s="40"/>
      <c r="T279" s="44"/>
      <c r="U279" s="42"/>
      <c r="V279" s="40"/>
      <c r="W279" s="40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</row>
    <row r="280" spans="1:36" x14ac:dyDescent="0.25">
      <c r="A280" s="39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28"/>
      <c r="N280" s="41"/>
      <c r="O280" s="40"/>
      <c r="P280" s="42"/>
      <c r="Q280" s="40"/>
      <c r="R280" s="43"/>
      <c r="S280" s="40"/>
      <c r="T280" s="44"/>
      <c r="U280" s="42"/>
      <c r="V280" s="40"/>
      <c r="W280" s="40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</row>
    <row r="281" spans="1:36" x14ac:dyDescent="0.25">
      <c r="A281" s="39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28"/>
      <c r="N281" s="41"/>
      <c r="O281" s="40"/>
      <c r="P281" s="42"/>
      <c r="Q281" s="40"/>
      <c r="R281" s="43"/>
      <c r="S281" s="40"/>
      <c r="T281" s="44"/>
      <c r="U281" s="42"/>
      <c r="V281" s="40"/>
      <c r="W281" s="40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</row>
    <row r="282" spans="1:36" x14ac:dyDescent="0.25">
      <c r="A282" s="39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28"/>
      <c r="N282" s="41"/>
      <c r="O282" s="40"/>
      <c r="P282" s="42"/>
      <c r="Q282" s="40"/>
      <c r="R282" s="43"/>
      <c r="S282" s="40"/>
      <c r="T282" s="44"/>
      <c r="U282" s="42"/>
      <c r="V282" s="40"/>
      <c r="W282" s="40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</row>
    <row r="283" spans="1:36" x14ac:dyDescent="0.25">
      <c r="A283" s="39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28"/>
      <c r="N283" s="41"/>
      <c r="O283" s="40"/>
      <c r="P283" s="42"/>
      <c r="Q283" s="40"/>
      <c r="R283" s="43"/>
      <c r="S283" s="40"/>
      <c r="T283" s="44"/>
      <c r="U283" s="42"/>
      <c r="V283" s="40"/>
      <c r="W283" s="40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</row>
    <row r="284" spans="1:36" x14ac:dyDescent="0.25">
      <c r="A284" s="39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28"/>
      <c r="N284" s="41"/>
      <c r="O284" s="40"/>
      <c r="P284" s="42"/>
      <c r="Q284" s="40"/>
      <c r="R284" s="43"/>
      <c r="S284" s="40"/>
      <c r="T284" s="44"/>
      <c r="U284" s="42"/>
      <c r="V284" s="40"/>
      <c r="W284" s="40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</row>
    <row r="285" spans="1:36" x14ac:dyDescent="0.25">
      <c r="A285" s="39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28"/>
      <c r="N285" s="41"/>
      <c r="O285" s="40"/>
      <c r="P285" s="42"/>
      <c r="Q285" s="40"/>
      <c r="R285" s="43"/>
      <c r="S285" s="40"/>
      <c r="T285" s="44"/>
      <c r="U285" s="42"/>
      <c r="V285" s="40"/>
      <c r="W285" s="40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</row>
    <row r="286" spans="1:36" x14ac:dyDescent="0.25">
      <c r="A286" s="39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28"/>
      <c r="N286" s="41"/>
      <c r="O286" s="40"/>
      <c r="P286" s="42"/>
      <c r="Q286" s="40"/>
      <c r="R286" s="43"/>
      <c r="S286" s="40"/>
      <c r="T286" s="44"/>
      <c r="U286" s="42"/>
      <c r="V286" s="40"/>
      <c r="W286" s="40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</row>
    <row r="287" spans="1:36" x14ac:dyDescent="0.25">
      <c r="A287" s="39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28"/>
      <c r="N287" s="41"/>
      <c r="O287" s="40"/>
      <c r="P287" s="42"/>
      <c r="Q287" s="40"/>
      <c r="R287" s="43"/>
      <c r="S287" s="40"/>
      <c r="T287" s="44"/>
      <c r="U287" s="42"/>
      <c r="V287" s="40"/>
      <c r="W287" s="40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</row>
    <row r="288" spans="1:36" x14ac:dyDescent="0.25">
      <c r="A288" s="39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28"/>
      <c r="N288" s="41"/>
      <c r="O288" s="40"/>
      <c r="P288" s="42"/>
      <c r="Q288" s="40"/>
      <c r="R288" s="43"/>
      <c r="S288" s="40"/>
      <c r="T288" s="44"/>
      <c r="U288" s="42"/>
      <c r="V288" s="40"/>
      <c r="W288" s="40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</row>
    <row r="289" spans="1:36" x14ac:dyDescent="0.25">
      <c r="A289" s="39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28"/>
      <c r="N289" s="41"/>
      <c r="O289" s="40"/>
      <c r="P289" s="42"/>
      <c r="Q289" s="40"/>
      <c r="R289" s="43"/>
      <c r="S289" s="40"/>
      <c r="T289" s="44"/>
      <c r="U289" s="42"/>
      <c r="V289" s="40"/>
      <c r="W289" s="40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</row>
    <row r="290" spans="1:36" x14ac:dyDescent="0.25">
      <c r="A290" s="39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28"/>
      <c r="N290" s="41"/>
      <c r="O290" s="40"/>
      <c r="P290" s="42"/>
      <c r="Q290" s="40"/>
      <c r="R290" s="43"/>
      <c r="S290" s="40"/>
      <c r="T290" s="44"/>
      <c r="U290" s="42"/>
      <c r="V290" s="40"/>
      <c r="W290" s="40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</row>
    <row r="291" spans="1:36" x14ac:dyDescent="0.25">
      <c r="A291" s="39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28"/>
      <c r="N291" s="41"/>
      <c r="O291" s="40"/>
      <c r="P291" s="42"/>
      <c r="Q291" s="40"/>
      <c r="R291" s="43"/>
      <c r="S291" s="40"/>
      <c r="T291" s="44"/>
      <c r="U291" s="42"/>
      <c r="V291" s="40"/>
      <c r="W291" s="40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</row>
    <row r="292" spans="1:36" x14ac:dyDescent="0.25">
      <c r="A292" s="39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28"/>
      <c r="N292" s="41"/>
      <c r="O292" s="40"/>
      <c r="P292" s="42"/>
      <c r="Q292" s="40"/>
      <c r="R292" s="43"/>
      <c r="S292" s="40"/>
      <c r="T292" s="44"/>
      <c r="U292" s="42"/>
      <c r="V292" s="40"/>
      <c r="W292" s="40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</row>
    <row r="293" spans="1:36" x14ac:dyDescent="0.25">
      <c r="A293" s="39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28"/>
      <c r="N293" s="41"/>
      <c r="O293" s="40"/>
      <c r="P293" s="42"/>
      <c r="Q293" s="40"/>
      <c r="R293" s="43"/>
      <c r="S293" s="40"/>
      <c r="T293" s="44"/>
      <c r="U293" s="42"/>
      <c r="V293" s="40"/>
      <c r="W293" s="40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</row>
    <row r="294" spans="1:36" x14ac:dyDescent="0.25">
      <c r="A294" s="39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28"/>
      <c r="N294" s="41"/>
      <c r="O294" s="40"/>
      <c r="P294" s="42"/>
      <c r="Q294" s="40"/>
      <c r="R294" s="43"/>
      <c r="S294" s="40"/>
      <c r="T294" s="44"/>
      <c r="U294" s="42"/>
      <c r="V294" s="40"/>
      <c r="W294" s="40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</row>
    <row r="295" spans="1:36" x14ac:dyDescent="0.25">
      <c r="A295" s="39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28"/>
      <c r="N295" s="41"/>
      <c r="O295" s="40"/>
      <c r="P295" s="42"/>
      <c r="Q295" s="40"/>
      <c r="R295" s="43"/>
      <c r="S295" s="40"/>
      <c r="T295" s="44"/>
      <c r="U295" s="42"/>
      <c r="V295" s="40"/>
      <c r="W295" s="40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</row>
    <row r="296" spans="1:36" x14ac:dyDescent="0.25">
      <c r="A296" s="39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28"/>
      <c r="N296" s="41"/>
      <c r="O296" s="40"/>
      <c r="P296" s="42"/>
      <c r="Q296" s="40"/>
      <c r="R296" s="43"/>
      <c r="S296" s="40"/>
      <c r="T296" s="44"/>
      <c r="U296" s="42"/>
      <c r="V296" s="40"/>
      <c r="W296" s="40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</row>
    <row r="297" spans="1:36" x14ac:dyDescent="0.25">
      <c r="A297" s="39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28"/>
      <c r="N297" s="41"/>
      <c r="O297" s="40"/>
      <c r="P297" s="42"/>
      <c r="Q297" s="40"/>
      <c r="R297" s="43"/>
      <c r="S297" s="40"/>
      <c r="T297" s="44"/>
      <c r="U297" s="42"/>
      <c r="V297" s="40"/>
      <c r="W297" s="40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</row>
    <row r="298" spans="1:36" x14ac:dyDescent="0.25">
      <c r="A298" s="39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28"/>
      <c r="N298" s="41"/>
      <c r="O298" s="40"/>
      <c r="P298" s="42"/>
      <c r="Q298" s="40"/>
      <c r="R298" s="43"/>
      <c r="S298" s="40"/>
      <c r="T298" s="44"/>
      <c r="U298" s="42"/>
      <c r="V298" s="40"/>
      <c r="W298" s="40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</row>
    <row r="299" spans="1:36" x14ac:dyDescent="0.25">
      <c r="A299" s="39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28"/>
      <c r="N299" s="41"/>
      <c r="O299" s="40"/>
      <c r="P299" s="42"/>
      <c r="Q299" s="40"/>
      <c r="R299" s="43"/>
      <c r="S299" s="40"/>
      <c r="T299" s="44"/>
      <c r="U299" s="42"/>
      <c r="V299" s="40"/>
      <c r="W299" s="40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</row>
    <row r="300" spans="1:36" x14ac:dyDescent="0.25">
      <c r="A300" s="39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28"/>
      <c r="N300" s="41"/>
      <c r="O300" s="40"/>
      <c r="P300" s="42"/>
      <c r="Q300" s="40"/>
      <c r="R300" s="43"/>
      <c r="S300" s="40"/>
      <c r="T300" s="44"/>
      <c r="U300" s="42"/>
      <c r="V300" s="40"/>
      <c r="W300" s="40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</row>
    <row r="301" spans="1:36" x14ac:dyDescent="0.25">
      <c r="A301" s="39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28"/>
      <c r="N301" s="41"/>
      <c r="O301" s="40"/>
      <c r="P301" s="42"/>
      <c r="Q301" s="40"/>
      <c r="R301" s="43"/>
      <c r="S301" s="40"/>
      <c r="T301" s="44"/>
      <c r="U301" s="42"/>
      <c r="V301" s="40"/>
      <c r="W301" s="40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</row>
    <row r="302" spans="1:36" x14ac:dyDescent="0.25">
      <c r="A302" s="39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28"/>
      <c r="N302" s="41"/>
      <c r="O302" s="40"/>
      <c r="P302" s="42"/>
      <c r="Q302" s="40"/>
      <c r="R302" s="43"/>
      <c r="S302" s="40"/>
      <c r="T302" s="44"/>
      <c r="U302" s="42"/>
      <c r="V302" s="40"/>
      <c r="W302" s="40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</row>
    <row r="303" spans="1:36" x14ac:dyDescent="0.25">
      <c r="A303" s="39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28"/>
      <c r="N303" s="41"/>
      <c r="O303" s="40"/>
      <c r="P303" s="42"/>
      <c r="Q303" s="40"/>
      <c r="R303" s="43"/>
      <c r="S303" s="40"/>
      <c r="T303" s="44"/>
      <c r="U303" s="42"/>
      <c r="V303" s="40"/>
      <c r="W303" s="40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</row>
    <row r="304" spans="1:36" x14ac:dyDescent="0.25">
      <c r="A304" s="39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28"/>
      <c r="N304" s="41"/>
      <c r="O304" s="40"/>
      <c r="P304" s="42"/>
      <c r="Q304" s="40"/>
      <c r="R304" s="43"/>
      <c r="S304" s="40"/>
      <c r="T304" s="44"/>
      <c r="U304" s="42"/>
      <c r="V304" s="40"/>
      <c r="W304" s="40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</row>
    <row r="305" spans="1:36" x14ac:dyDescent="0.25">
      <c r="A305" s="39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28"/>
      <c r="N305" s="41"/>
      <c r="O305" s="40"/>
      <c r="P305" s="42"/>
      <c r="Q305" s="40"/>
      <c r="R305" s="43"/>
      <c r="S305" s="40"/>
      <c r="T305" s="44"/>
      <c r="U305" s="42"/>
      <c r="V305" s="40"/>
      <c r="W305" s="40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</row>
    <row r="306" spans="1:36" x14ac:dyDescent="0.25">
      <c r="A306" s="39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28"/>
      <c r="N306" s="41"/>
      <c r="O306" s="40"/>
      <c r="P306" s="42"/>
      <c r="Q306" s="40"/>
      <c r="R306" s="43"/>
      <c r="S306" s="40"/>
      <c r="T306" s="44"/>
      <c r="U306" s="42"/>
      <c r="V306" s="40"/>
      <c r="W306" s="40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</row>
    <row r="307" spans="1:36" x14ac:dyDescent="0.25">
      <c r="A307" s="39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28"/>
      <c r="N307" s="41"/>
      <c r="O307" s="40"/>
      <c r="P307" s="42"/>
      <c r="Q307" s="40"/>
      <c r="R307" s="43"/>
      <c r="S307" s="40"/>
      <c r="T307" s="44"/>
      <c r="U307" s="42"/>
      <c r="V307" s="40"/>
      <c r="W307" s="40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</row>
    <row r="308" spans="1:36" x14ac:dyDescent="0.25">
      <c r="A308" s="39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28"/>
      <c r="N308" s="41"/>
      <c r="O308" s="40"/>
      <c r="P308" s="42"/>
      <c r="Q308" s="40"/>
      <c r="R308" s="43"/>
      <c r="S308" s="40"/>
      <c r="T308" s="44"/>
      <c r="U308" s="42"/>
      <c r="V308" s="40"/>
      <c r="W308" s="40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</row>
    <row r="309" spans="1:36" x14ac:dyDescent="0.25">
      <c r="A309" s="39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28"/>
      <c r="N309" s="41"/>
      <c r="O309" s="40"/>
      <c r="P309" s="42"/>
      <c r="Q309" s="40"/>
      <c r="R309" s="43"/>
      <c r="S309" s="40"/>
      <c r="T309" s="44"/>
      <c r="U309" s="42"/>
      <c r="V309" s="40"/>
      <c r="W309" s="40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</row>
    <row r="310" spans="1:36" x14ac:dyDescent="0.25">
      <c r="A310" s="39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28"/>
      <c r="N310" s="41"/>
      <c r="O310" s="40"/>
      <c r="P310" s="42"/>
      <c r="Q310" s="40"/>
      <c r="R310" s="43"/>
      <c r="S310" s="40"/>
      <c r="T310" s="44"/>
      <c r="U310" s="42"/>
      <c r="V310" s="40"/>
      <c r="W310" s="40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</row>
    <row r="311" spans="1:36" x14ac:dyDescent="0.25">
      <c r="A311" s="39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28"/>
      <c r="N311" s="41"/>
      <c r="O311" s="40"/>
      <c r="P311" s="42"/>
      <c r="Q311" s="40"/>
      <c r="R311" s="43"/>
      <c r="S311" s="40"/>
      <c r="T311" s="44"/>
      <c r="U311" s="42"/>
      <c r="V311" s="40"/>
      <c r="W311" s="40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</row>
    <row r="312" spans="1:36" x14ac:dyDescent="0.25">
      <c r="A312" s="39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28"/>
      <c r="N312" s="41"/>
      <c r="O312" s="40"/>
      <c r="P312" s="42"/>
      <c r="Q312" s="40"/>
      <c r="R312" s="43"/>
      <c r="S312" s="40"/>
      <c r="T312" s="44"/>
      <c r="U312" s="42"/>
      <c r="V312" s="40"/>
      <c r="W312" s="40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</row>
    <row r="313" spans="1:36" x14ac:dyDescent="0.25">
      <c r="A313" s="39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28"/>
      <c r="N313" s="41"/>
      <c r="O313" s="40"/>
      <c r="P313" s="42"/>
      <c r="Q313" s="40"/>
      <c r="R313" s="43"/>
      <c r="S313" s="40"/>
      <c r="T313" s="44"/>
      <c r="U313" s="42"/>
      <c r="V313" s="40"/>
      <c r="W313" s="40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</row>
    <row r="314" spans="1:36" x14ac:dyDescent="0.25">
      <c r="A314" s="39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28"/>
      <c r="N314" s="41"/>
      <c r="O314" s="40"/>
      <c r="P314" s="42"/>
      <c r="Q314" s="40"/>
      <c r="R314" s="43"/>
      <c r="S314" s="40"/>
      <c r="T314" s="44"/>
      <c r="U314" s="42"/>
      <c r="V314" s="40"/>
      <c r="W314" s="40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</row>
    <row r="315" spans="1:36" x14ac:dyDescent="0.25">
      <c r="A315" s="39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28"/>
      <c r="N315" s="41"/>
      <c r="O315" s="40"/>
      <c r="P315" s="42"/>
      <c r="Q315" s="40"/>
      <c r="R315" s="43"/>
      <c r="S315" s="40"/>
      <c r="T315" s="44"/>
      <c r="U315" s="42"/>
      <c r="V315" s="40"/>
      <c r="W315" s="40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</row>
    <row r="316" spans="1:36" x14ac:dyDescent="0.25">
      <c r="A316" s="39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28"/>
      <c r="N316" s="41"/>
      <c r="O316" s="40"/>
      <c r="P316" s="42"/>
      <c r="Q316" s="40"/>
      <c r="R316" s="43"/>
      <c r="S316" s="40"/>
      <c r="T316" s="44"/>
      <c r="U316" s="42"/>
      <c r="V316" s="40"/>
      <c r="W316" s="40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</row>
    <row r="317" spans="1:36" x14ac:dyDescent="0.25">
      <c r="A317" s="39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28"/>
      <c r="N317" s="41"/>
      <c r="O317" s="40"/>
      <c r="P317" s="42"/>
      <c r="Q317" s="40"/>
      <c r="R317" s="43"/>
      <c r="S317" s="40"/>
      <c r="T317" s="44"/>
      <c r="U317" s="42"/>
      <c r="V317" s="40"/>
      <c r="W317" s="40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</row>
    <row r="318" spans="1:36" x14ac:dyDescent="0.25">
      <c r="A318" s="39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28"/>
      <c r="N318" s="41"/>
      <c r="O318" s="40"/>
      <c r="P318" s="42"/>
      <c r="Q318" s="40"/>
      <c r="R318" s="43"/>
      <c r="S318" s="40"/>
      <c r="T318" s="44"/>
      <c r="U318" s="42"/>
      <c r="V318" s="40"/>
      <c r="W318" s="40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</row>
    <row r="319" spans="1:36" x14ac:dyDescent="0.25">
      <c r="A319" s="39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28"/>
      <c r="N319" s="41"/>
      <c r="O319" s="40"/>
      <c r="P319" s="42"/>
      <c r="Q319" s="40"/>
      <c r="R319" s="43"/>
      <c r="S319" s="40"/>
      <c r="T319" s="44"/>
      <c r="U319" s="42"/>
      <c r="V319" s="40"/>
      <c r="W319" s="40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</row>
    <row r="320" spans="1:36" x14ac:dyDescent="0.25">
      <c r="A320" s="39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28"/>
      <c r="N320" s="41"/>
      <c r="O320" s="40"/>
      <c r="P320" s="42"/>
      <c r="Q320" s="40"/>
      <c r="R320" s="43"/>
      <c r="S320" s="40"/>
      <c r="T320" s="44"/>
      <c r="U320" s="42"/>
      <c r="V320" s="40"/>
      <c r="W320" s="40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</row>
    <row r="321" spans="1:36" x14ac:dyDescent="0.25">
      <c r="A321" s="39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28"/>
      <c r="N321" s="41"/>
      <c r="O321" s="40"/>
      <c r="P321" s="42"/>
      <c r="Q321" s="40"/>
      <c r="R321" s="43"/>
      <c r="S321" s="40"/>
      <c r="T321" s="44"/>
      <c r="U321" s="42"/>
      <c r="V321" s="40"/>
      <c r="W321" s="40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</row>
    <row r="322" spans="1:36" x14ac:dyDescent="0.25">
      <c r="A322" s="39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28"/>
      <c r="N322" s="41"/>
      <c r="O322" s="40"/>
      <c r="P322" s="42"/>
      <c r="Q322" s="40"/>
      <c r="R322" s="43"/>
      <c r="S322" s="40"/>
      <c r="T322" s="44"/>
      <c r="U322" s="42"/>
      <c r="V322" s="40"/>
      <c r="W322" s="40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</row>
    <row r="323" spans="1:36" x14ac:dyDescent="0.25">
      <c r="A323" s="39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28"/>
      <c r="N323" s="41"/>
      <c r="O323" s="40"/>
      <c r="P323" s="42"/>
      <c r="Q323" s="40"/>
      <c r="R323" s="43"/>
      <c r="S323" s="40"/>
      <c r="T323" s="44"/>
      <c r="U323" s="42"/>
      <c r="V323" s="40"/>
      <c r="W323" s="40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</row>
    <row r="324" spans="1:36" x14ac:dyDescent="0.25">
      <c r="A324" s="39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28"/>
      <c r="N324" s="41"/>
      <c r="O324" s="40"/>
      <c r="P324" s="42"/>
      <c r="Q324" s="40"/>
      <c r="R324" s="43"/>
      <c r="S324" s="40"/>
      <c r="T324" s="44"/>
      <c r="U324" s="42"/>
      <c r="V324" s="40"/>
      <c r="W324" s="40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</row>
    <row r="325" spans="1:36" x14ac:dyDescent="0.25">
      <c r="A325" s="39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28"/>
      <c r="N325" s="41"/>
      <c r="O325" s="40"/>
      <c r="P325" s="42"/>
      <c r="Q325" s="40"/>
      <c r="R325" s="43"/>
      <c r="S325" s="40"/>
      <c r="T325" s="44"/>
      <c r="U325" s="42"/>
      <c r="V325" s="40"/>
      <c r="W325" s="40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</row>
    <row r="326" spans="1:36" x14ac:dyDescent="0.25">
      <c r="A326" s="39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28"/>
      <c r="N326" s="41"/>
      <c r="O326" s="40"/>
      <c r="P326" s="42"/>
      <c r="Q326" s="40"/>
      <c r="R326" s="43"/>
      <c r="S326" s="40"/>
      <c r="T326" s="44"/>
      <c r="U326" s="42"/>
      <c r="V326" s="40"/>
      <c r="W326" s="40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</row>
    <row r="327" spans="1:36" x14ac:dyDescent="0.25">
      <c r="A327" s="39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28"/>
      <c r="N327" s="41"/>
      <c r="O327" s="40"/>
      <c r="P327" s="42"/>
      <c r="Q327" s="40"/>
      <c r="R327" s="43"/>
      <c r="S327" s="40"/>
      <c r="T327" s="44"/>
      <c r="U327" s="42"/>
      <c r="V327" s="40"/>
      <c r="W327" s="40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</row>
    <row r="328" spans="1:36" x14ac:dyDescent="0.25">
      <c r="A328" s="39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28"/>
      <c r="N328" s="41"/>
      <c r="O328" s="40"/>
      <c r="P328" s="42"/>
      <c r="Q328" s="40"/>
      <c r="R328" s="43"/>
      <c r="S328" s="40"/>
      <c r="T328" s="44"/>
      <c r="U328" s="42"/>
      <c r="V328" s="40"/>
      <c r="W328" s="40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</row>
    <row r="329" spans="1:36" x14ac:dyDescent="0.25">
      <c r="A329" s="39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28"/>
      <c r="N329" s="41"/>
      <c r="O329" s="40"/>
      <c r="P329" s="42"/>
      <c r="Q329" s="40"/>
      <c r="R329" s="43"/>
      <c r="S329" s="40"/>
      <c r="T329" s="44"/>
      <c r="U329" s="42"/>
      <c r="V329" s="40"/>
      <c r="W329" s="40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</row>
    <row r="330" spans="1:36" x14ac:dyDescent="0.25">
      <c r="A330" s="39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28"/>
      <c r="N330" s="41"/>
      <c r="O330" s="40"/>
      <c r="P330" s="42"/>
      <c r="Q330" s="40"/>
      <c r="R330" s="43"/>
      <c r="S330" s="40"/>
      <c r="T330" s="44"/>
      <c r="U330" s="42"/>
      <c r="V330" s="40"/>
      <c r="W330" s="40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</row>
    <row r="331" spans="1:36" x14ac:dyDescent="0.25">
      <c r="A331" s="39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28"/>
      <c r="N331" s="41"/>
      <c r="O331" s="40"/>
      <c r="P331" s="42"/>
      <c r="Q331" s="40"/>
      <c r="R331" s="43"/>
      <c r="S331" s="40"/>
      <c r="T331" s="44"/>
      <c r="U331" s="42"/>
      <c r="V331" s="40"/>
      <c r="W331" s="40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</row>
    <row r="332" spans="1:36" x14ac:dyDescent="0.25">
      <c r="A332" s="39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28"/>
      <c r="N332" s="41"/>
      <c r="O332" s="40"/>
      <c r="P332" s="42"/>
      <c r="Q332" s="40"/>
      <c r="R332" s="43"/>
      <c r="S332" s="40"/>
      <c r="T332" s="44"/>
      <c r="U332" s="42"/>
      <c r="V332" s="40"/>
      <c r="W332" s="40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</row>
    <row r="333" spans="1:36" x14ac:dyDescent="0.25">
      <c r="A333" s="39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28"/>
      <c r="N333" s="41"/>
      <c r="O333" s="40"/>
      <c r="P333" s="42"/>
      <c r="Q333" s="40"/>
      <c r="R333" s="43"/>
      <c r="S333" s="40"/>
      <c r="T333" s="44"/>
      <c r="U333" s="42"/>
      <c r="V333" s="40"/>
      <c r="W333" s="40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</row>
    <row r="334" spans="1:36" x14ac:dyDescent="0.25">
      <c r="A334" s="39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28"/>
      <c r="N334" s="41"/>
      <c r="O334" s="40"/>
      <c r="P334" s="42"/>
      <c r="Q334" s="40"/>
      <c r="R334" s="43"/>
      <c r="S334" s="40"/>
      <c r="T334" s="44"/>
      <c r="U334" s="42"/>
      <c r="V334" s="40"/>
      <c r="W334" s="40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</row>
    <row r="335" spans="1:36" x14ac:dyDescent="0.25">
      <c r="A335" s="39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28"/>
      <c r="N335" s="41"/>
      <c r="O335" s="40"/>
      <c r="P335" s="42"/>
      <c r="Q335" s="40"/>
      <c r="R335" s="43"/>
      <c r="S335" s="40"/>
      <c r="T335" s="44"/>
      <c r="U335" s="42"/>
      <c r="V335" s="40"/>
      <c r="W335" s="40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</row>
    <row r="336" spans="1:36" x14ac:dyDescent="0.25">
      <c r="A336" s="39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28"/>
      <c r="N336" s="41"/>
      <c r="O336" s="40"/>
      <c r="P336" s="42"/>
      <c r="Q336" s="40"/>
      <c r="R336" s="43"/>
      <c r="S336" s="40"/>
      <c r="T336" s="44"/>
      <c r="U336" s="42"/>
      <c r="V336" s="40"/>
      <c r="W336" s="40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</row>
    <row r="337" spans="1:36" x14ac:dyDescent="0.25">
      <c r="A337" s="39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28"/>
      <c r="N337" s="41"/>
      <c r="O337" s="40"/>
      <c r="P337" s="42"/>
      <c r="Q337" s="40"/>
      <c r="R337" s="43"/>
      <c r="S337" s="40"/>
      <c r="T337" s="44"/>
      <c r="U337" s="42"/>
      <c r="V337" s="40"/>
      <c r="W337" s="40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</row>
    <row r="338" spans="1:36" x14ac:dyDescent="0.25">
      <c r="A338" s="39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28"/>
      <c r="N338" s="41"/>
      <c r="O338" s="40"/>
      <c r="P338" s="42"/>
      <c r="Q338" s="40"/>
      <c r="R338" s="43"/>
      <c r="S338" s="40"/>
      <c r="T338" s="44"/>
      <c r="U338" s="42"/>
      <c r="V338" s="40"/>
      <c r="W338" s="40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</row>
    <row r="339" spans="1:36" x14ac:dyDescent="0.25">
      <c r="A339" s="39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28"/>
      <c r="N339" s="41"/>
      <c r="O339" s="40"/>
      <c r="P339" s="42"/>
      <c r="Q339" s="40"/>
      <c r="R339" s="43"/>
      <c r="S339" s="40"/>
      <c r="T339" s="44"/>
      <c r="U339" s="42"/>
      <c r="V339" s="40"/>
      <c r="W339" s="40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</row>
    <row r="340" spans="1:36" x14ac:dyDescent="0.25">
      <c r="A340" s="39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28"/>
      <c r="N340" s="41"/>
      <c r="O340" s="40"/>
      <c r="P340" s="42"/>
      <c r="Q340" s="40"/>
      <c r="R340" s="43"/>
      <c r="S340" s="40"/>
      <c r="T340" s="44"/>
      <c r="U340" s="42"/>
      <c r="V340" s="40"/>
      <c r="W340" s="40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</row>
    <row r="341" spans="1:36" x14ac:dyDescent="0.25">
      <c r="A341" s="39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28"/>
      <c r="N341" s="41"/>
      <c r="O341" s="40"/>
      <c r="P341" s="42"/>
      <c r="Q341" s="40"/>
      <c r="R341" s="43"/>
      <c r="S341" s="40"/>
      <c r="T341" s="44"/>
      <c r="U341" s="42"/>
      <c r="V341" s="40"/>
      <c r="W341" s="40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</row>
    <row r="342" spans="1:36" x14ac:dyDescent="0.25">
      <c r="A342" s="39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28"/>
      <c r="N342" s="41"/>
      <c r="O342" s="40"/>
      <c r="P342" s="42"/>
      <c r="Q342" s="40"/>
      <c r="R342" s="43"/>
      <c r="S342" s="40"/>
      <c r="T342" s="44"/>
      <c r="U342" s="42"/>
      <c r="V342" s="40"/>
      <c r="W342" s="40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</row>
    <row r="343" spans="1:36" x14ac:dyDescent="0.25">
      <c r="A343" s="39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28"/>
      <c r="N343" s="41"/>
      <c r="O343" s="40"/>
      <c r="P343" s="42"/>
      <c r="Q343" s="40"/>
      <c r="R343" s="43"/>
      <c r="S343" s="40"/>
      <c r="T343" s="44"/>
      <c r="U343" s="42"/>
      <c r="V343" s="40"/>
      <c r="W343" s="40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</row>
    <row r="344" spans="1:36" x14ac:dyDescent="0.25">
      <c r="A344" s="39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28"/>
      <c r="N344" s="41"/>
      <c r="O344" s="40"/>
      <c r="P344" s="42"/>
      <c r="Q344" s="40"/>
      <c r="R344" s="43"/>
      <c r="S344" s="40"/>
      <c r="T344" s="44"/>
      <c r="U344" s="42"/>
      <c r="V344" s="40"/>
      <c r="W344" s="40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</row>
    <row r="345" spans="1:36" x14ac:dyDescent="0.25">
      <c r="A345" s="39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28"/>
      <c r="N345" s="41"/>
      <c r="O345" s="40"/>
      <c r="P345" s="42"/>
      <c r="Q345" s="40"/>
      <c r="R345" s="43"/>
      <c r="S345" s="40"/>
      <c r="T345" s="44"/>
      <c r="U345" s="42"/>
      <c r="V345" s="40"/>
      <c r="W345" s="40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</row>
    <row r="346" spans="1:36" x14ac:dyDescent="0.25">
      <c r="A346" s="39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28"/>
      <c r="N346" s="41"/>
      <c r="O346" s="40"/>
      <c r="P346" s="42"/>
      <c r="Q346" s="40"/>
      <c r="R346" s="43"/>
      <c r="S346" s="40"/>
      <c r="T346" s="44"/>
      <c r="U346" s="42"/>
      <c r="V346" s="40"/>
      <c r="W346" s="40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</row>
    <row r="347" spans="1:36" x14ac:dyDescent="0.25">
      <c r="A347" s="39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28"/>
      <c r="N347" s="41"/>
      <c r="O347" s="40"/>
      <c r="P347" s="42"/>
      <c r="Q347" s="40"/>
      <c r="R347" s="43"/>
      <c r="S347" s="40"/>
      <c r="T347" s="44"/>
      <c r="U347" s="42"/>
      <c r="V347" s="40"/>
      <c r="W347" s="40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</row>
    <row r="348" spans="1:36" x14ac:dyDescent="0.25">
      <c r="A348" s="39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28"/>
      <c r="N348" s="41"/>
      <c r="O348" s="40"/>
      <c r="P348" s="42"/>
      <c r="Q348" s="40"/>
      <c r="R348" s="43"/>
      <c r="S348" s="40"/>
      <c r="T348" s="44"/>
      <c r="U348" s="42"/>
      <c r="V348" s="40"/>
      <c r="W348" s="40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</row>
    <row r="349" spans="1:36" x14ac:dyDescent="0.25">
      <c r="A349" s="39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28"/>
      <c r="N349" s="41"/>
      <c r="O349" s="40"/>
      <c r="P349" s="42"/>
      <c r="Q349" s="40"/>
      <c r="R349" s="43"/>
      <c r="S349" s="40"/>
      <c r="T349" s="44"/>
      <c r="U349" s="42"/>
      <c r="V349" s="40"/>
      <c r="W349" s="40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</row>
    <row r="350" spans="1:36" x14ac:dyDescent="0.25">
      <c r="A350" s="39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28"/>
      <c r="N350" s="41"/>
      <c r="O350" s="40"/>
      <c r="P350" s="42"/>
      <c r="Q350" s="40"/>
      <c r="R350" s="43"/>
      <c r="S350" s="40"/>
      <c r="T350" s="44"/>
      <c r="U350" s="42"/>
      <c r="V350" s="40"/>
      <c r="W350" s="40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</row>
    <row r="351" spans="1:36" x14ac:dyDescent="0.25">
      <c r="A351" s="39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28"/>
      <c r="N351" s="41"/>
      <c r="O351" s="40"/>
      <c r="P351" s="42"/>
      <c r="Q351" s="40"/>
      <c r="R351" s="43"/>
      <c r="S351" s="40"/>
      <c r="T351" s="44"/>
      <c r="U351" s="42"/>
      <c r="V351" s="40"/>
      <c r="W351" s="40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</row>
    <row r="352" spans="1:36" x14ac:dyDescent="0.25">
      <c r="A352" s="39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28"/>
      <c r="N352" s="41"/>
      <c r="O352" s="40"/>
      <c r="P352" s="42"/>
      <c r="Q352" s="40"/>
      <c r="R352" s="43"/>
      <c r="S352" s="40"/>
      <c r="T352" s="44"/>
      <c r="U352" s="42"/>
      <c r="V352" s="40"/>
      <c r="W352" s="40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</row>
    <row r="353" spans="1:36" x14ac:dyDescent="0.25">
      <c r="A353" s="39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28"/>
      <c r="N353" s="41"/>
      <c r="O353" s="40"/>
      <c r="P353" s="42"/>
      <c r="Q353" s="40"/>
      <c r="R353" s="43"/>
      <c r="S353" s="40"/>
      <c r="T353" s="44"/>
      <c r="U353" s="42"/>
      <c r="V353" s="40"/>
      <c r="W353" s="40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</row>
    <row r="354" spans="1:36" x14ac:dyDescent="0.25">
      <c r="A354" s="39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28"/>
      <c r="N354" s="41"/>
      <c r="O354" s="40"/>
      <c r="P354" s="42"/>
      <c r="Q354" s="40"/>
      <c r="R354" s="43"/>
      <c r="S354" s="40"/>
      <c r="T354" s="44"/>
      <c r="U354" s="42"/>
      <c r="V354" s="40"/>
      <c r="W354" s="40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</row>
    <row r="355" spans="1:36" x14ac:dyDescent="0.25">
      <c r="A355" s="39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28"/>
      <c r="N355" s="41"/>
      <c r="O355" s="40"/>
      <c r="P355" s="42"/>
      <c r="Q355" s="40"/>
      <c r="R355" s="43"/>
      <c r="S355" s="40"/>
      <c r="T355" s="44"/>
      <c r="U355" s="42"/>
      <c r="V355" s="40"/>
      <c r="W355" s="40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</row>
    <row r="356" spans="1:36" x14ac:dyDescent="0.25">
      <c r="A356" s="39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28"/>
      <c r="N356" s="41"/>
      <c r="O356" s="40"/>
      <c r="P356" s="42"/>
      <c r="Q356" s="40"/>
      <c r="R356" s="43"/>
      <c r="S356" s="40"/>
      <c r="T356" s="44"/>
      <c r="U356" s="42"/>
      <c r="V356" s="40"/>
      <c r="W356" s="40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</row>
    <row r="357" spans="1:36" x14ac:dyDescent="0.25">
      <c r="A357" s="39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28"/>
      <c r="N357" s="41"/>
      <c r="O357" s="40"/>
      <c r="P357" s="42"/>
      <c r="Q357" s="40"/>
      <c r="R357" s="43"/>
      <c r="S357" s="40"/>
      <c r="T357" s="44"/>
      <c r="U357" s="42"/>
      <c r="V357" s="40"/>
      <c r="W357" s="40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</row>
    <row r="358" spans="1:36" x14ac:dyDescent="0.25">
      <c r="A358" s="39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28"/>
      <c r="N358" s="41"/>
      <c r="O358" s="40"/>
      <c r="P358" s="42"/>
      <c r="Q358" s="40"/>
      <c r="R358" s="43"/>
      <c r="S358" s="40"/>
      <c r="T358" s="44"/>
      <c r="U358" s="42"/>
      <c r="V358" s="40"/>
      <c r="W358" s="40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</row>
    <row r="359" spans="1:36" x14ac:dyDescent="0.25">
      <c r="A359" s="39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28"/>
      <c r="N359" s="41"/>
      <c r="O359" s="40"/>
      <c r="P359" s="42"/>
      <c r="Q359" s="40"/>
      <c r="R359" s="43"/>
      <c r="S359" s="40"/>
      <c r="T359" s="44"/>
      <c r="U359" s="42"/>
      <c r="V359" s="40"/>
      <c r="W359" s="40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</row>
    <row r="360" spans="1:36" x14ac:dyDescent="0.25">
      <c r="A360" s="39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28"/>
      <c r="N360" s="41"/>
      <c r="O360" s="40"/>
      <c r="P360" s="42"/>
      <c r="Q360" s="40"/>
      <c r="R360" s="43"/>
      <c r="S360" s="40"/>
      <c r="T360" s="44"/>
      <c r="U360" s="42"/>
      <c r="V360" s="40"/>
      <c r="W360" s="40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</row>
    <row r="361" spans="1:36" x14ac:dyDescent="0.25">
      <c r="A361" s="39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28"/>
      <c r="N361" s="41"/>
      <c r="O361" s="40"/>
      <c r="P361" s="42"/>
      <c r="Q361" s="40"/>
      <c r="R361" s="43"/>
      <c r="S361" s="40"/>
      <c r="T361" s="44"/>
      <c r="U361" s="42"/>
      <c r="V361" s="40"/>
      <c r="W361" s="40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</row>
    <row r="362" spans="1:36" x14ac:dyDescent="0.25">
      <c r="A362" s="39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28"/>
      <c r="N362" s="41"/>
      <c r="O362" s="40"/>
      <c r="P362" s="42"/>
      <c r="Q362" s="40"/>
      <c r="R362" s="43"/>
      <c r="S362" s="40"/>
      <c r="T362" s="44"/>
      <c r="U362" s="42"/>
      <c r="V362" s="40"/>
      <c r="W362" s="40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</row>
    <row r="363" spans="1:36" x14ac:dyDescent="0.25">
      <c r="A363" s="39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28"/>
      <c r="N363" s="41"/>
      <c r="O363" s="40"/>
      <c r="P363" s="42"/>
      <c r="Q363" s="40"/>
      <c r="R363" s="43"/>
      <c r="S363" s="40"/>
      <c r="T363" s="44"/>
      <c r="U363" s="42"/>
      <c r="V363" s="40"/>
      <c r="W363" s="40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</row>
    <row r="364" spans="1:36" x14ac:dyDescent="0.25">
      <c r="A364" s="39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28"/>
      <c r="N364" s="41"/>
      <c r="O364" s="40"/>
      <c r="P364" s="42"/>
      <c r="Q364" s="40"/>
      <c r="R364" s="43"/>
      <c r="S364" s="40"/>
      <c r="T364" s="44"/>
      <c r="U364" s="42"/>
      <c r="V364" s="40"/>
      <c r="W364" s="40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</row>
    <row r="365" spans="1:36" x14ac:dyDescent="0.25">
      <c r="A365" s="39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28"/>
      <c r="N365" s="41"/>
      <c r="O365" s="40"/>
      <c r="P365" s="42"/>
      <c r="Q365" s="40"/>
      <c r="R365" s="43"/>
      <c r="S365" s="40"/>
      <c r="T365" s="44"/>
      <c r="U365" s="42"/>
      <c r="V365" s="40"/>
      <c r="W365" s="40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</row>
    <row r="366" spans="1:36" x14ac:dyDescent="0.25">
      <c r="A366" s="39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28"/>
      <c r="N366" s="41"/>
      <c r="O366" s="40"/>
      <c r="P366" s="42"/>
      <c r="Q366" s="40"/>
      <c r="R366" s="43"/>
      <c r="S366" s="40"/>
      <c r="T366" s="44"/>
      <c r="U366" s="42"/>
      <c r="V366" s="40"/>
      <c r="W366" s="40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</row>
    <row r="367" spans="1:36" x14ac:dyDescent="0.25">
      <c r="A367" s="39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28"/>
      <c r="N367" s="41"/>
      <c r="O367" s="40"/>
      <c r="P367" s="42"/>
      <c r="Q367" s="40"/>
      <c r="R367" s="43"/>
      <c r="S367" s="40"/>
      <c r="T367" s="44"/>
      <c r="U367" s="42"/>
      <c r="V367" s="40"/>
      <c r="W367" s="40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</row>
    <row r="368" spans="1:36" x14ac:dyDescent="0.25">
      <c r="A368" s="39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28"/>
      <c r="N368" s="41"/>
      <c r="O368" s="40"/>
      <c r="P368" s="42"/>
      <c r="Q368" s="40"/>
      <c r="R368" s="43"/>
      <c r="S368" s="40"/>
      <c r="T368" s="44"/>
      <c r="U368" s="42"/>
      <c r="V368" s="40"/>
      <c r="W368" s="40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</row>
    <row r="369" spans="1:36" x14ac:dyDescent="0.25">
      <c r="A369" s="39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28"/>
      <c r="N369" s="41"/>
      <c r="O369" s="40"/>
      <c r="P369" s="42"/>
      <c r="Q369" s="40"/>
      <c r="R369" s="43"/>
      <c r="S369" s="40"/>
      <c r="T369" s="44"/>
      <c r="U369" s="42"/>
      <c r="V369" s="40"/>
      <c r="W369" s="40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</row>
    <row r="370" spans="1:36" x14ac:dyDescent="0.25">
      <c r="A370" s="39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28"/>
      <c r="N370" s="41"/>
      <c r="O370" s="40"/>
      <c r="P370" s="42"/>
      <c r="Q370" s="40"/>
      <c r="R370" s="43"/>
      <c r="S370" s="40"/>
      <c r="T370" s="44"/>
      <c r="U370" s="42"/>
      <c r="V370" s="40"/>
      <c r="W370" s="40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</row>
    <row r="371" spans="1:36" x14ac:dyDescent="0.25">
      <c r="A371" s="39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28"/>
      <c r="N371" s="41"/>
      <c r="O371" s="40"/>
      <c r="P371" s="42"/>
      <c r="Q371" s="40"/>
      <c r="R371" s="43"/>
      <c r="S371" s="40"/>
      <c r="T371" s="44"/>
      <c r="U371" s="42"/>
      <c r="V371" s="40"/>
      <c r="W371" s="40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</row>
    <row r="372" spans="1:36" x14ac:dyDescent="0.25">
      <c r="A372" s="39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28"/>
      <c r="N372" s="41"/>
      <c r="O372" s="40"/>
      <c r="P372" s="42"/>
      <c r="Q372" s="40"/>
      <c r="R372" s="43"/>
      <c r="S372" s="40"/>
      <c r="T372" s="44"/>
      <c r="U372" s="42"/>
      <c r="V372" s="40"/>
      <c r="W372" s="40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</row>
    <row r="373" spans="1:36" x14ac:dyDescent="0.25">
      <c r="A373" s="39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28"/>
      <c r="N373" s="41"/>
      <c r="O373" s="40"/>
      <c r="P373" s="42"/>
      <c r="Q373" s="40"/>
      <c r="R373" s="43"/>
      <c r="S373" s="40"/>
      <c r="T373" s="44"/>
      <c r="U373" s="42"/>
      <c r="V373" s="40"/>
      <c r="W373" s="40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</row>
    <row r="374" spans="1:36" x14ac:dyDescent="0.25">
      <c r="A374" s="39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28"/>
      <c r="N374" s="41"/>
      <c r="O374" s="40"/>
      <c r="P374" s="42"/>
      <c r="Q374" s="40"/>
      <c r="R374" s="43"/>
      <c r="S374" s="40"/>
      <c r="T374" s="44"/>
      <c r="U374" s="42"/>
      <c r="V374" s="40"/>
      <c r="W374" s="40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</row>
    <row r="375" spans="1:36" x14ac:dyDescent="0.25">
      <c r="A375" s="39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28"/>
      <c r="N375" s="41"/>
      <c r="O375" s="40"/>
      <c r="P375" s="42"/>
      <c r="Q375" s="40"/>
      <c r="R375" s="43"/>
      <c r="S375" s="40"/>
      <c r="T375" s="44"/>
      <c r="U375" s="42"/>
      <c r="V375" s="40"/>
      <c r="W375" s="40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</row>
    <row r="376" spans="1:36" x14ac:dyDescent="0.25">
      <c r="A376" s="39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28"/>
      <c r="N376" s="41"/>
      <c r="O376" s="40"/>
      <c r="P376" s="42"/>
      <c r="Q376" s="40"/>
      <c r="R376" s="43"/>
      <c r="S376" s="40"/>
      <c r="T376" s="44"/>
      <c r="U376" s="42"/>
      <c r="V376" s="40"/>
      <c r="W376" s="40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</row>
    <row r="377" spans="1:36" x14ac:dyDescent="0.25">
      <c r="A377" s="39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28"/>
      <c r="N377" s="41"/>
      <c r="O377" s="40"/>
      <c r="P377" s="42"/>
      <c r="Q377" s="40"/>
      <c r="R377" s="43"/>
      <c r="S377" s="40"/>
      <c r="T377" s="44"/>
      <c r="U377" s="42"/>
      <c r="V377" s="40"/>
      <c r="W377" s="40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</row>
    <row r="378" spans="1:36" x14ac:dyDescent="0.25">
      <c r="A378" s="39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28"/>
      <c r="N378" s="41"/>
      <c r="O378" s="40"/>
      <c r="P378" s="42"/>
      <c r="Q378" s="40"/>
      <c r="R378" s="43"/>
      <c r="S378" s="40"/>
      <c r="T378" s="44"/>
      <c r="U378" s="42"/>
      <c r="V378" s="40"/>
      <c r="W378" s="40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</row>
    <row r="379" spans="1:36" x14ac:dyDescent="0.25">
      <c r="A379" s="39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28"/>
      <c r="N379" s="41"/>
      <c r="O379" s="40"/>
      <c r="P379" s="42"/>
      <c r="Q379" s="40"/>
      <c r="R379" s="43"/>
      <c r="S379" s="40"/>
      <c r="T379" s="44"/>
      <c r="U379" s="42"/>
      <c r="V379" s="40"/>
      <c r="W379" s="40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</row>
    <row r="380" spans="1:36" x14ac:dyDescent="0.25">
      <c r="A380" s="39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28"/>
      <c r="N380" s="41"/>
      <c r="O380" s="40"/>
      <c r="P380" s="42"/>
      <c r="Q380" s="40"/>
      <c r="R380" s="43"/>
      <c r="S380" s="40"/>
      <c r="T380" s="44"/>
      <c r="U380" s="42"/>
      <c r="V380" s="40"/>
      <c r="W380" s="40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</row>
    <row r="381" spans="1:36" x14ac:dyDescent="0.25">
      <c r="A381" s="39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28"/>
      <c r="N381" s="41"/>
      <c r="O381" s="40"/>
      <c r="P381" s="42"/>
      <c r="Q381" s="40"/>
      <c r="R381" s="43"/>
      <c r="S381" s="40"/>
      <c r="T381" s="44"/>
      <c r="U381" s="42"/>
      <c r="V381" s="40"/>
      <c r="W381" s="40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</row>
    <row r="382" spans="1:36" x14ac:dyDescent="0.25">
      <c r="A382" s="39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28"/>
      <c r="N382" s="41"/>
      <c r="O382" s="40"/>
      <c r="P382" s="42"/>
      <c r="Q382" s="40"/>
      <c r="R382" s="43"/>
      <c r="S382" s="40"/>
      <c r="T382" s="44"/>
      <c r="U382" s="42"/>
      <c r="V382" s="40"/>
      <c r="W382" s="40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</row>
    <row r="383" spans="1:36" x14ac:dyDescent="0.25">
      <c r="A383" s="39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28"/>
      <c r="N383" s="41"/>
      <c r="O383" s="40"/>
      <c r="P383" s="42"/>
      <c r="Q383" s="40"/>
      <c r="R383" s="43"/>
      <c r="S383" s="40"/>
      <c r="T383" s="44"/>
      <c r="U383" s="42"/>
      <c r="V383" s="40"/>
      <c r="W383" s="40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</row>
    <row r="384" spans="1:36" x14ac:dyDescent="0.25">
      <c r="A384" s="39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28"/>
      <c r="N384" s="41"/>
      <c r="O384" s="40"/>
      <c r="P384" s="42"/>
      <c r="Q384" s="40"/>
      <c r="R384" s="43"/>
      <c r="S384" s="40"/>
      <c r="T384" s="44"/>
      <c r="U384" s="42"/>
      <c r="V384" s="40"/>
      <c r="W384" s="40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</row>
    <row r="385" spans="1:36" x14ac:dyDescent="0.25">
      <c r="A385" s="39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28"/>
      <c r="N385" s="41"/>
      <c r="O385" s="40"/>
      <c r="P385" s="42"/>
      <c r="Q385" s="40"/>
      <c r="R385" s="43"/>
      <c r="S385" s="40"/>
      <c r="T385" s="44"/>
      <c r="U385" s="42"/>
      <c r="V385" s="40"/>
      <c r="W385" s="40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</row>
    <row r="386" spans="1:36" x14ac:dyDescent="0.25">
      <c r="A386" s="39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28"/>
      <c r="N386" s="41"/>
      <c r="O386" s="40"/>
      <c r="P386" s="42"/>
      <c r="Q386" s="40"/>
      <c r="R386" s="43"/>
      <c r="S386" s="40"/>
      <c r="T386" s="44"/>
      <c r="U386" s="42"/>
      <c r="V386" s="40"/>
      <c r="W386" s="40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</row>
    <row r="387" spans="1:36" x14ac:dyDescent="0.25">
      <c r="A387" s="39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28"/>
      <c r="N387" s="41"/>
      <c r="O387" s="40"/>
      <c r="P387" s="42"/>
      <c r="Q387" s="40"/>
      <c r="R387" s="43"/>
      <c r="S387" s="40"/>
      <c r="T387" s="44"/>
      <c r="U387" s="42"/>
      <c r="V387" s="40"/>
      <c r="W387" s="40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</row>
    <row r="388" spans="1:36" x14ac:dyDescent="0.25">
      <c r="A388" s="39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28"/>
      <c r="N388" s="41"/>
      <c r="O388" s="40"/>
      <c r="P388" s="42"/>
      <c r="Q388" s="40"/>
      <c r="R388" s="43"/>
      <c r="S388" s="40"/>
      <c r="T388" s="44"/>
      <c r="U388" s="42"/>
      <c r="V388" s="40"/>
      <c r="W388" s="40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</row>
    <row r="389" spans="1:36" x14ac:dyDescent="0.25">
      <c r="A389" s="39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28"/>
      <c r="N389" s="41"/>
      <c r="O389" s="40"/>
      <c r="P389" s="42"/>
      <c r="Q389" s="40"/>
      <c r="R389" s="43"/>
      <c r="S389" s="40"/>
      <c r="T389" s="44"/>
      <c r="U389" s="42"/>
      <c r="V389" s="40"/>
      <c r="W389" s="40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</row>
    <row r="390" spans="1:36" x14ac:dyDescent="0.25">
      <c r="A390" s="39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28"/>
      <c r="N390" s="41"/>
      <c r="O390" s="40"/>
      <c r="P390" s="42"/>
      <c r="Q390" s="40"/>
      <c r="R390" s="43"/>
      <c r="S390" s="40"/>
      <c r="T390" s="44"/>
      <c r="U390" s="42"/>
      <c r="V390" s="40"/>
      <c r="W390" s="40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</row>
    <row r="391" spans="1:36" x14ac:dyDescent="0.25">
      <c r="A391" s="39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28"/>
      <c r="N391" s="41"/>
      <c r="O391" s="40"/>
      <c r="P391" s="42"/>
      <c r="Q391" s="40"/>
      <c r="R391" s="43"/>
      <c r="S391" s="40"/>
      <c r="T391" s="44"/>
      <c r="U391" s="42"/>
      <c r="V391" s="40"/>
      <c r="W391" s="40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</row>
    <row r="392" spans="1:36" x14ac:dyDescent="0.25">
      <c r="A392" s="39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28"/>
      <c r="N392" s="41"/>
      <c r="O392" s="40"/>
      <c r="P392" s="42"/>
      <c r="Q392" s="40"/>
      <c r="R392" s="43"/>
      <c r="S392" s="40"/>
      <c r="T392" s="44"/>
      <c r="U392" s="42"/>
      <c r="V392" s="40"/>
      <c r="W392" s="40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</row>
    <row r="393" spans="1:36" x14ac:dyDescent="0.25">
      <c r="A393" s="39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28"/>
      <c r="N393" s="41"/>
      <c r="O393" s="40"/>
      <c r="P393" s="42"/>
      <c r="Q393" s="40"/>
      <c r="R393" s="43"/>
      <c r="S393" s="40"/>
      <c r="T393" s="44"/>
      <c r="U393" s="42"/>
      <c r="V393" s="40"/>
      <c r="W393" s="40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</row>
    <row r="394" spans="1:36" x14ac:dyDescent="0.25">
      <c r="A394" s="39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28"/>
      <c r="N394" s="41"/>
      <c r="O394" s="40"/>
      <c r="P394" s="42"/>
      <c r="Q394" s="40"/>
      <c r="R394" s="43"/>
      <c r="S394" s="40"/>
      <c r="T394" s="44"/>
      <c r="U394" s="42"/>
      <c r="V394" s="40"/>
      <c r="W394" s="40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</row>
    <row r="395" spans="1:36" x14ac:dyDescent="0.25">
      <c r="A395" s="39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28"/>
      <c r="N395" s="41"/>
      <c r="O395" s="40"/>
      <c r="P395" s="42"/>
      <c r="Q395" s="40"/>
      <c r="R395" s="43"/>
      <c r="S395" s="40"/>
      <c r="T395" s="44"/>
      <c r="U395" s="42"/>
      <c r="V395" s="40"/>
      <c r="W395" s="40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</row>
    <row r="396" spans="1:36" x14ac:dyDescent="0.25">
      <c r="A396" s="39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28"/>
      <c r="N396" s="41"/>
      <c r="O396" s="40"/>
      <c r="P396" s="42"/>
      <c r="Q396" s="40"/>
      <c r="R396" s="43"/>
      <c r="S396" s="40"/>
      <c r="T396" s="44"/>
      <c r="U396" s="42"/>
      <c r="V396" s="40"/>
      <c r="W396" s="40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</row>
    <row r="397" spans="1:36" x14ac:dyDescent="0.25">
      <c r="A397" s="39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28"/>
      <c r="N397" s="41"/>
      <c r="O397" s="40"/>
      <c r="P397" s="42"/>
      <c r="Q397" s="40"/>
      <c r="R397" s="43"/>
      <c r="S397" s="40"/>
      <c r="T397" s="44"/>
      <c r="U397" s="42"/>
      <c r="V397" s="40"/>
      <c r="W397" s="40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</row>
    <row r="398" spans="1:36" x14ac:dyDescent="0.25">
      <c r="A398" s="39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28"/>
      <c r="N398" s="41"/>
      <c r="O398" s="40"/>
      <c r="P398" s="42"/>
      <c r="Q398" s="40"/>
      <c r="R398" s="43"/>
      <c r="S398" s="40"/>
      <c r="T398" s="44"/>
      <c r="U398" s="42"/>
      <c r="V398" s="40"/>
      <c r="W398" s="40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</row>
    <row r="399" spans="1:36" x14ac:dyDescent="0.25">
      <c r="A399" s="39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28"/>
      <c r="N399" s="41"/>
      <c r="O399" s="40"/>
      <c r="P399" s="42"/>
      <c r="Q399" s="40"/>
      <c r="R399" s="43"/>
      <c r="S399" s="40"/>
      <c r="T399" s="44"/>
      <c r="U399" s="42"/>
      <c r="V399" s="40"/>
      <c r="W399" s="40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</row>
    <row r="400" spans="1:36" x14ac:dyDescent="0.25">
      <c r="A400" s="39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28"/>
      <c r="N400" s="41"/>
      <c r="O400" s="40"/>
      <c r="P400" s="42"/>
      <c r="Q400" s="40"/>
      <c r="R400" s="43"/>
      <c r="S400" s="40"/>
      <c r="T400" s="44"/>
      <c r="U400" s="42"/>
      <c r="V400" s="40"/>
      <c r="W400" s="40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</row>
    <row r="401" spans="1:36" x14ac:dyDescent="0.25">
      <c r="A401" s="39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28"/>
      <c r="N401" s="41"/>
      <c r="O401" s="40"/>
      <c r="P401" s="42"/>
      <c r="Q401" s="40"/>
      <c r="R401" s="43"/>
      <c r="S401" s="40"/>
      <c r="T401" s="44"/>
      <c r="U401" s="42"/>
      <c r="V401" s="40"/>
      <c r="W401" s="40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</row>
    <row r="402" spans="1:36" x14ac:dyDescent="0.25">
      <c r="A402" s="39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28"/>
      <c r="N402" s="41"/>
      <c r="O402" s="40"/>
      <c r="P402" s="42"/>
      <c r="Q402" s="40"/>
      <c r="R402" s="43"/>
      <c r="S402" s="40"/>
      <c r="T402" s="44"/>
      <c r="U402" s="42"/>
      <c r="V402" s="40"/>
      <c r="W402" s="40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</row>
    <row r="403" spans="1:36" x14ac:dyDescent="0.25">
      <c r="A403" s="39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28"/>
      <c r="N403" s="41"/>
      <c r="O403" s="40"/>
      <c r="P403" s="42"/>
      <c r="Q403" s="40"/>
      <c r="R403" s="43"/>
      <c r="S403" s="40"/>
      <c r="T403" s="44"/>
      <c r="U403" s="42"/>
      <c r="V403" s="40"/>
      <c r="W403" s="40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</row>
    <row r="404" spans="1:36" x14ac:dyDescent="0.25">
      <c r="A404" s="39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28"/>
      <c r="N404" s="41"/>
      <c r="O404" s="40"/>
      <c r="P404" s="42"/>
      <c r="Q404" s="40"/>
      <c r="R404" s="43"/>
      <c r="S404" s="40"/>
      <c r="T404" s="44"/>
      <c r="U404" s="42"/>
      <c r="V404" s="40"/>
      <c r="W404" s="40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</row>
    <row r="405" spans="1:36" x14ac:dyDescent="0.25">
      <c r="A405" s="39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28"/>
      <c r="N405" s="41"/>
      <c r="O405" s="40"/>
      <c r="P405" s="42"/>
      <c r="Q405" s="40"/>
      <c r="R405" s="43"/>
      <c r="S405" s="40"/>
      <c r="T405" s="44"/>
      <c r="U405" s="42"/>
      <c r="V405" s="40"/>
      <c r="W405" s="40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</row>
    <row r="406" spans="1:36" x14ac:dyDescent="0.25">
      <c r="A406" s="39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28"/>
      <c r="N406" s="41"/>
      <c r="O406" s="40"/>
      <c r="P406" s="42"/>
      <c r="Q406" s="40"/>
      <c r="R406" s="43"/>
      <c r="S406" s="40"/>
      <c r="T406" s="44"/>
      <c r="U406" s="42"/>
      <c r="V406" s="40"/>
      <c r="W406" s="40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</row>
    <row r="407" spans="1:36" x14ac:dyDescent="0.25">
      <c r="A407" s="39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28"/>
      <c r="N407" s="41"/>
      <c r="O407" s="40"/>
      <c r="P407" s="42"/>
      <c r="Q407" s="40"/>
      <c r="R407" s="43"/>
      <c r="S407" s="40"/>
      <c r="T407" s="44"/>
      <c r="U407" s="42"/>
      <c r="V407" s="40"/>
      <c r="W407" s="40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</row>
    <row r="408" spans="1:36" x14ac:dyDescent="0.25">
      <c r="A408" s="39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28"/>
      <c r="N408" s="41"/>
      <c r="O408" s="40"/>
      <c r="P408" s="42"/>
      <c r="Q408" s="40"/>
      <c r="R408" s="43"/>
      <c r="S408" s="40"/>
      <c r="T408" s="44"/>
      <c r="U408" s="42"/>
      <c r="V408" s="40"/>
      <c r="W408" s="40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</row>
    <row r="409" spans="1:36" x14ac:dyDescent="0.25">
      <c r="A409" s="39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28"/>
      <c r="N409" s="41"/>
      <c r="O409" s="40"/>
      <c r="P409" s="42"/>
      <c r="Q409" s="40"/>
      <c r="R409" s="43"/>
      <c r="S409" s="40"/>
      <c r="T409" s="44"/>
      <c r="U409" s="42"/>
      <c r="V409" s="40"/>
      <c r="W409" s="40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</row>
    <row r="410" spans="1:36" x14ac:dyDescent="0.25">
      <c r="A410" s="39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28"/>
      <c r="N410" s="41"/>
      <c r="O410" s="40"/>
      <c r="P410" s="42"/>
      <c r="Q410" s="40"/>
      <c r="R410" s="43"/>
      <c r="S410" s="40"/>
      <c r="T410" s="44"/>
      <c r="U410" s="42"/>
      <c r="V410" s="40"/>
      <c r="W410" s="40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</row>
    <row r="411" spans="1:36" x14ac:dyDescent="0.25">
      <c r="A411" s="39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28"/>
      <c r="N411" s="41"/>
      <c r="O411" s="40"/>
      <c r="P411" s="42"/>
      <c r="Q411" s="40"/>
      <c r="R411" s="43"/>
      <c r="S411" s="40"/>
      <c r="T411" s="44"/>
      <c r="U411" s="42"/>
      <c r="V411" s="40"/>
      <c r="W411" s="40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</row>
    <row r="412" spans="1:36" x14ac:dyDescent="0.25">
      <c r="A412" s="39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28"/>
      <c r="N412" s="41"/>
      <c r="O412" s="40"/>
      <c r="P412" s="42"/>
      <c r="Q412" s="40"/>
      <c r="R412" s="43"/>
      <c r="S412" s="40"/>
      <c r="T412" s="44"/>
      <c r="U412" s="42"/>
      <c r="V412" s="40"/>
      <c r="W412" s="40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</row>
    <row r="413" spans="1:36" x14ac:dyDescent="0.25">
      <c r="A413" s="39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28"/>
      <c r="N413" s="41"/>
      <c r="O413" s="40"/>
      <c r="P413" s="42"/>
      <c r="Q413" s="40"/>
      <c r="R413" s="43"/>
      <c r="S413" s="40"/>
      <c r="T413" s="44"/>
      <c r="U413" s="42"/>
      <c r="V413" s="40"/>
      <c r="W413" s="40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</row>
    <row r="414" spans="1:36" x14ac:dyDescent="0.25">
      <c r="A414" s="39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28"/>
      <c r="N414" s="41"/>
      <c r="O414" s="40"/>
      <c r="P414" s="42"/>
      <c r="Q414" s="40"/>
      <c r="R414" s="43"/>
      <c r="S414" s="40"/>
      <c r="T414" s="44"/>
      <c r="U414" s="42"/>
      <c r="V414" s="40"/>
      <c r="W414" s="40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</row>
    <row r="415" spans="1:36" x14ac:dyDescent="0.25">
      <c r="A415" s="39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28"/>
      <c r="N415" s="41"/>
      <c r="O415" s="40"/>
      <c r="P415" s="42"/>
      <c r="Q415" s="40"/>
      <c r="R415" s="43"/>
      <c r="S415" s="40"/>
      <c r="T415" s="44"/>
      <c r="U415" s="42"/>
      <c r="V415" s="40"/>
      <c r="W415" s="40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</row>
    <row r="416" spans="1:36" x14ac:dyDescent="0.25">
      <c r="A416" s="39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28"/>
      <c r="N416" s="41"/>
      <c r="O416" s="40"/>
      <c r="P416" s="42"/>
      <c r="Q416" s="40"/>
      <c r="R416" s="43"/>
      <c r="S416" s="40"/>
      <c r="T416" s="44"/>
      <c r="U416" s="42"/>
      <c r="V416" s="40"/>
      <c r="W416" s="40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</row>
    <row r="417" spans="1:36" x14ac:dyDescent="0.25">
      <c r="A417" s="39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28"/>
      <c r="N417" s="41"/>
      <c r="O417" s="40"/>
      <c r="P417" s="42"/>
      <c r="Q417" s="40"/>
      <c r="R417" s="43"/>
      <c r="S417" s="40"/>
      <c r="T417" s="44"/>
      <c r="U417" s="42"/>
      <c r="V417" s="40"/>
      <c r="W417" s="40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</row>
    <row r="418" spans="1:36" x14ac:dyDescent="0.25">
      <c r="A418" s="39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28"/>
      <c r="N418" s="41"/>
      <c r="O418" s="40"/>
      <c r="P418" s="42"/>
      <c r="Q418" s="40"/>
      <c r="R418" s="43"/>
      <c r="S418" s="40"/>
      <c r="T418" s="44"/>
      <c r="U418" s="42"/>
      <c r="V418" s="40"/>
      <c r="W418" s="40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</row>
    <row r="419" spans="1:36" x14ac:dyDescent="0.25">
      <c r="A419" s="39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28"/>
      <c r="N419" s="41"/>
      <c r="O419" s="40"/>
      <c r="P419" s="42"/>
      <c r="Q419" s="40"/>
      <c r="R419" s="43"/>
      <c r="S419" s="40"/>
      <c r="T419" s="44"/>
      <c r="U419" s="42"/>
      <c r="V419" s="40"/>
      <c r="W419" s="40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</row>
    <row r="420" spans="1:36" x14ac:dyDescent="0.25">
      <c r="A420" s="39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28"/>
      <c r="N420" s="41"/>
      <c r="O420" s="40"/>
      <c r="P420" s="42"/>
      <c r="Q420" s="40"/>
      <c r="R420" s="43"/>
      <c r="S420" s="40"/>
      <c r="T420" s="44"/>
      <c r="U420" s="42"/>
      <c r="V420" s="40"/>
      <c r="W420" s="40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</row>
    <row r="421" spans="1:36" x14ac:dyDescent="0.25">
      <c r="A421" s="39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28"/>
      <c r="N421" s="41"/>
      <c r="O421" s="40"/>
      <c r="P421" s="42"/>
      <c r="Q421" s="40"/>
      <c r="R421" s="43"/>
      <c r="S421" s="40"/>
      <c r="T421" s="44"/>
      <c r="U421" s="42"/>
      <c r="V421" s="40"/>
      <c r="W421" s="40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</row>
    <row r="422" spans="1:36" x14ac:dyDescent="0.25">
      <c r="A422" s="39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28"/>
      <c r="N422" s="41"/>
      <c r="O422" s="40"/>
      <c r="P422" s="42"/>
      <c r="Q422" s="40"/>
      <c r="R422" s="43"/>
      <c r="S422" s="40"/>
      <c r="T422" s="44"/>
      <c r="U422" s="42"/>
      <c r="V422" s="40"/>
      <c r="W422" s="40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</row>
    <row r="423" spans="1:36" x14ac:dyDescent="0.25">
      <c r="A423" s="39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28"/>
      <c r="N423" s="41"/>
      <c r="O423" s="40"/>
      <c r="P423" s="42"/>
      <c r="Q423" s="40"/>
      <c r="R423" s="43"/>
      <c r="S423" s="40"/>
      <c r="T423" s="44"/>
      <c r="U423" s="42"/>
      <c r="V423" s="40"/>
      <c r="W423" s="40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</row>
    <row r="424" spans="1:36" x14ac:dyDescent="0.25">
      <c r="A424" s="39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28"/>
      <c r="N424" s="41"/>
      <c r="O424" s="40"/>
      <c r="P424" s="42"/>
      <c r="Q424" s="40"/>
      <c r="R424" s="43"/>
      <c r="S424" s="40"/>
      <c r="T424" s="44"/>
      <c r="U424" s="42"/>
      <c r="V424" s="40"/>
      <c r="W424" s="40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</row>
    <row r="425" spans="1:36" x14ac:dyDescent="0.25">
      <c r="A425" s="39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28"/>
      <c r="N425" s="41"/>
      <c r="O425" s="40"/>
      <c r="P425" s="42"/>
      <c r="Q425" s="40"/>
      <c r="R425" s="43"/>
      <c r="S425" s="40"/>
      <c r="T425" s="44"/>
      <c r="U425" s="42"/>
      <c r="V425" s="40"/>
      <c r="W425" s="40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</row>
    <row r="426" spans="1:36" x14ac:dyDescent="0.25">
      <c r="A426" s="39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28"/>
      <c r="N426" s="41"/>
      <c r="O426" s="40"/>
      <c r="P426" s="42"/>
      <c r="Q426" s="40"/>
      <c r="R426" s="43"/>
      <c r="S426" s="40"/>
      <c r="T426" s="44"/>
      <c r="U426" s="42"/>
      <c r="V426" s="40"/>
      <c r="W426" s="40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</row>
    <row r="427" spans="1:36" x14ac:dyDescent="0.25">
      <c r="A427" s="39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28"/>
      <c r="N427" s="41"/>
      <c r="O427" s="40"/>
      <c r="P427" s="42"/>
      <c r="Q427" s="40"/>
      <c r="R427" s="43"/>
      <c r="S427" s="40"/>
      <c r="T427" s="44"/>
      <c r="U427" s="42"/>
      <c r="V427" s="40"/>
      <c r="W427" s="40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</row>
    <row r="428" spans="1:36" x14ac:dyDescent="0.25">
      <c r="A428" s="39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28"/>
      <c r="N428" s="41"/>
      <c r="O428" s="40"/>
      <c r="P428" s="42"/>
      <c r="Q428" s="40"/>
      <c r="R428" s="43"/>
      <c r="S428" s="40"/>
      <c r="T428" s="44"/>
      <c r="U428" s="42"/>
      <c r="V428" s="40"/>
      <c r="W428" s="40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</row>
    <row r="429" spans="1:36" x14ac:dyDescent="0.25">
      <c r="A429" s="39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28"/>
      <c r="N429" s="41"/>
      <c r="O429" s="40"/>
      <c r="P429" s="42"/>
      <c r="Q429" s="40"/>
      <c r="R429" s="43"/>
      <c r="S429" s="40"/>
      <c r="T429" s="44"/>
      <c r="U429" s="42"/>
      <c r="V429" s="40"/>
      <c r="W429" s="40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</row>
    <row r="430" spans="1:36" x14ac:dyDescent="0.25">
      <c r="A430" s="39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28"/>
      <c r="N430" s="41"/>
      <c r="O430" s="40"/>
      <c r="P430" s="42"/>
      <c r="Q430" s="40"/>
      <c r="R430" s="43"/>
      <c r="S430" s="40"/>
      <c r="T430" s="44"/>
      <c r="U430" s="42"/>
      <c r="V430" s="40"/>
      <c r="W430" s="40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</row>
    <row r="431" spans="1:36" x14ac:dyDescent="0.25">
      <c r="A431" s="39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28"/>
      <c r="N431" s="41"/>
      <c r="O431" s="40"/>
      <c r="P431" s="42"/>
      <c r="Q431" s="40"/>
      <c r="R431" s="43"/>
      <c r="S431" s="40"/>
      <c r="T431" s="44"/>
      <c r="U431" s="42"/>
      <c r="V431" s="40"/>
      <c r="W431" s="40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</row>
    <row r="432" spans="1:36" x14ac:dyDescent="0.25">
      <c r="A432" s="39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28"/>
      <c r="N432" s="41"/>
      <c r="O432" s="40"/>
      <c r="P432" s="42"/>
      <c r="Q432" s="40"/>
      <c r="R432" s="43"/>
      <c r="S432" s="40"/>
      <c r="T432" s="44"/>
      <c r="U432" s="42"/>
      <c r="V432" s="40"/>
      <c r="W432" s="40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</row>
    <row r="433" spans="1:36" x14ac:dyDescent="0.25">
      <c r="A433" s="39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28"/>
      <c r="N433" s="41"/>
      <c r="O433" s="40"/>
      <c r="P433" s="42"/>
      <c r="Q433" s="40"/>
      <c r="R433" s="43"/>
      <c r="S433" s="40"/>
      <c r="T433" s="44"/>
      <c r="U433" s="42"/>
      <c r="V433" s="40"/>
      <c r="W433" s="40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</row>
    <row r="434" spans="1:36" x14ac:dyDescent="0.25">
      <c r="A434" s="39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28"/>
      <c r="N434" s="41"/>
      <c r="O434" s="40"/>
      <c r="P434" s="42"/>
      <c r="Q434" s="40"/>
      <c r="R434" s="43"/>
      <c r="S434" s="40"/>
      <c r="T434" s="44"/>
      <c r="U434" s="42"/>
      <c r="V434" s="40"/>
      <c r="W434" s="40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</row>
    <row r="435" spans="1:36" x14ac:dyDescent="0.25">
      <c r="A435" s="39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28"/>
      <c r="N435" s="41"/>
      <c r="O435" s="40"/>
      <c r="P435" s="42"/>
      <c r="Q435" s="40"/>
      <c r="R435" s="43"/>
      <c r="S435" s="40"/>
      <c r="T435" s="44"/>
      <c r="U435" s="42"/>
      <c r="V435" s="40"/>
      <c r="W435" s="40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</row>
    <row r="436" spans="1:36" x14ac:dyDescent="0.25">
      <c r="A436" s="39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28"/>
      <c r="N436" s="41"/>
      <c r="O436" s="40"/>
      <c r="P436" s="42"/>
      <c r="Q436" s="40"/>
      <c r="R436" s="43"/>
      <c r="S436" s="40"/>
      <c r="T436" s="44"/>
      <c r="U436" s="42"/>
      <c r="V436" s="40"/>
      <c r="W436" s="40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</row>
    <row r="437" spans="1:36" x14ac:dyDescent="0.25">
      <c r="A437" s="39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28"/>
      <c r="N437" s="41"/>
      <c r="O437" s="40"/>
      <c r="P437" s="42"/>
      <c r="Q437" s="40"/>
      <c r="R437" s="43"/>
      <c r="S437" s="40"/>
      <c r="T437" s="44"/>
      <c r="U437" s="42"/>
      <c r="V437" s="40"/>
      <c r="W437" s="40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</row>
    <row r="438" spans="1:36" x14ac:dyDescent="0.25">
      <c r="A438" s="39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28"/>
      <c r="N438" s="41"/>
      <c r="O438" s="40"/>
      <c r="P438" s="42"/>
      <c r="Q438" s="40"/>
      <c r="R438" s="43"/>
      <c r="S438" s="40"/>
      <c r="T438" s="44"/>
      <c r="U438" s="42"/>
      <c r="V438" s="40"/>
      <c r="W438" s="40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</row>
    <row r="439" spans="1:36" x14ac:dyDescent="0.25">
      <c r="A439" s="39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28"/>
      <c r="N439" s="41"/>
      <c r="O439" s="40"/>
      <c r="P439" s="42"/>
      <c r="Q439" s="40"/>
      <c r="R439" s="43"/>
      <c r="S439" s="40"/>
      <c r="T439" s="44"/>
      <c r="U439" s="42"/>
      <c r="V439" s="40"/>
      <c r="W439" s="40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</row>
    <row r="440" spans="1:36" x14ac:dyDescent="0.25">
      <c r="A440" s="39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28"/>
      <c r="N440" s="41"/>
      <c r="O440" s="40"/>
      <c r="P440" s="42"/>
      <c r="Q440" s="40"/>
      <c r="R440" s="43"/>
      <c r="S440" s="40"/>
      <c r="T440" s="44"/>
      <c r="U440" s="42"/>
      <c r="V440" s="40"/>
      <c r="W440" s="40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</row>
    <row r="441" spans="1:36" x14ac:dyDescent="0.25">
      <c r="A441" s="39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28"/>
      <c r="N441" s="41"/>
      <c r="O441" s="40"/>
      <c r="P441" s="42"/>
      <c r="Q441" s="40"/>
      <c r="R441" s="43"/>
      <c r="S441" s="40"/>
      <c r="T441" s="44"/>
      <c r="U441" s="42"/>
      <c r="V441" s="40"/>
      <c r="W441" s="40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</row>
    <row r="442" spans="1:36" x14ac:dyDescent="0.25">
      <c r="A442" s="39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28"/>
      <c r="N442" s="41"/>
      <c r="O442" s="40"/>
      <c r="P442" s="42"/>
      <c r="Q442" s="40"/>
      <c r="R442" s="43"/>
      <c r="S442" s="40"/>
      <c r="T442" s="44"/>
      <c r="U442" s="42"/>
      <c r="V442" s="40"/>
      <c r="W442" s="40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</row>
    <row r="443" spans="1:36" x14ac:dyDescent="0.25">
      <c r="A443" s="39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28"/>
      <c r="N443" s="41"/>
      <c r="O443" s="40"/>
      <c r="P443" s="42"/>
      <c r="Q443" s="40"/>
      <c r="R443" s="43"/>
      <c r="S443" s="40"/>
      <c r="T443" s="44"/>
      <c r="U443" s="42"/>
      <c r="V443" s="40"/>
      <c r="W443" s="40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</row>
    <row r="444" spans="1:36" x14ac:dyDescent="0.25">
      <c r="A444" s="39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28"/>
      <c r="N444" s="41"/>
      <c r="O444" s="40"/>
      <c r="P444" s="42"/>
      <c r="Q444" s="40"/>
      <c r="R444" s="43"/>
      <c r="S444" s="40"/>
      <c r="T444" s="44"/>
      <c r="U444" s="42"/>
      <c r="V444" s="40"/>
      <c r="W444" s="40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</row>
    <row r="445" spans="1:36" x14ac:dyDescent="0.25">
      <c r="A445" s="39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28"/>
      <c r="N445" s="41"/>
      <c r="O445" s="40"/>
      <c r="P445" s="42"/>
      <c r="Q445" s="40"/>
      <c r="R445" s="43"/>
      <c r="S445" s="40"/>
      <c r="T445" s="44"/>
      <c r="U445" s="42"/>
      <c r="V445" s="40"/>
      <c r="W445" s="40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</row>
    <row r="446" spans="1:36" x14ac:dyDescent="0.25">
      <c r="A446" s="39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28"/>
      <c r="N446" s="41"/>
      <c r="O446" s="40"/>
      <c r="P446" s="42"/>
      <c r="Q446" s="40"/>
      <c r="R446" s="43"/>
      <c r="S446" s="40"/>
      <c r="T446" s="44"/>
      <c r="U446" s="42"/>
      <c r="V446" s="40"/>
      <c r="W446" s="40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</row>
    <row r="447" spans="1:36" x14ac:dyDescent="0.25">
      <c r="A447" s="39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28"/>
      <c r="N447" s="41"/>
      <c r="O447" s="40"/>
      <c r="P447" s="42"/>
      <c r="Q447" s="40"/>
      <c r="R447" s="43"/>
      <c r="S447" s="40"/>
      <c r="T447" s="44"/>
      <c r="U447" s="42"/>
      <c r="V447" s="40"/>
      <c r="W447" s="40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</row>
    <row r="448" spans="1:36" x14ac:dyDescent="0.25">
      <c r="A448" s="39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28"/>
      <c r="N448" s="41"/>
      <c r="O448" s="40"/>
      <c r="P448" s="42"/>
      <c r="Q448" s="40"/>
      <c r="R448" s="43"/>
      <c r="S448" s="40"/>
      <c r="T448" s="44"/>
      <c r="U448" s="42"/>
      <c r="V448" s="40"/>
      <c r="W448" s="40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</row>
    <row r="449" spans="1:36" x14ac:dyDescent="0.25">
      <c r="A449" s="39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28"/>
      <c r="N449" s="41"/>
      <c r="O449" s="40"/>
      <c r="P449" s="42"/>
      <c r="Q449" s="40"/>
      <c r="R449" s="43"/>
      <c r="S449" s="40"/>
      <c r="T449" s="44"/>
      <c r="U449" s="42"/>
      <c r="V449" s="40"/>
      <c r="W449" s="40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</row>
    <row r="450" spans="1:36" x14ac:dyDescent="0.25">
      <c r="A450" s="39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28"/>
      <c r="N450" s="41"/>
      <c r="O450" s="40"/>
      <c r="P450" s="42"/>
      <c r="Q450" s="40"/>
      <c r="R450" s="43"/>
      <c r="S450" s="40"/>
      <c r="T450" s="44"/>
      <c r="U450" s="42"/>
      <c r="V450" s="40"/>
      <c r="W450" s="40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</row>
    <row r="451" spans="1:36" x14ac:dyDescent="0.25">
      <c r="A451" s="39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28"/>
      <c r="N451" s="41"/>
      <c r="O451" s="40"/>
      <c r="P451" s="42"/>
      <c r="Q451" s="40"/>
      <c r="R451" s="43"/>
      <c r="S451" s="40"/>
      <c r="T451" s="44"/>
      <c r="U451" s="42"/>
      <c r="V451" s="40"/>
      <c r="W451" s="40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</row>
    <row r="452" spans="1:36" x14ac:dyDescent="0.25">
      <c r="A452" s="39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28"/>
      <c r="N452" s="41"/>
      <c r="O452" s="40"/>
      <c r="P452" s="42"/>
      <c r="Q452" s="40"/>
      <c r="R452" s="43"/>
      <c r="S452" s="40"/>
      <c r="T452" s="44"/>
      <c r="U452" s="42"/>
      <c r="V452" s="40"/>
      <c r="W452" s="40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</row>
    <row r="453" spans="1:36" x14ac:dyDescent="0.25">
      <c r="A453" s="39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28"/>
      <c r="N453" s="41"/>
      <c r="O453" s="40"/>
      <c r="P453" s="42"/>
      <c r="Q453" s="40"/>
      <c r="R453" s="43"/>
      <c r="S453" s="40"/>
      <c r="T453" s="44"/>
      <c r="U453" s="42"/>
      <c r="V453" s="40"/>
      <c r="W453" s="40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</row>
    <row r="454" spans="1:36" x14ac:dyDescent="0.25">
      <c r="A454" s="39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28"/>
      <c r="N454" s="41"/>
      <c r="O454" s="40"/>
      <c r="P454" s="42"/>
      <c r="Q454" s="40"/>
      <c r="R454" s="43"/>
      <c r="S454" s="40"/>
      <c r="T454" s="44"/>
      <c r="U454" s="42"/>
      <c r="V454" s="40"/>
      <c r="W454" s="40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</row>
    <row r="455" spans="1:36" x14ac:dyDescent="0.25">
      <c r="A455" s="39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28"/>
      <c r="N455" s="41"/>
      <c r="O455" s="40"/>
      <c r="P455" s="42"/>
      <c r="Q455" s="40"/>
      <c r="R455" s="43"/>
      <c r="S455" s="40"/>
      <c r="T455" s="44"/>
      <c r="U455" s="42"/>
      <c r="V455" s="40"/>
      <c r="W455" s="40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</row>
    <row r="456" spans="1:36" x14ac:dyDescent="0.25">
      <c r="A456" s="39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28"/>
      <c r="N456" s="41"/>
      <c r="O456" s="40"/>
      <c r="P456" s="42"/>
      <c r="Q456" s="40"/>
      <c r="R456" s="43"/>
      <c r="S456" s="40"/>
      <c r="T456" s="44"/>
      <c r="U456" s="42"/>
      <c r="V456" s="40"/>
      <c r="W456" s="40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</row>
    <row r="457" spans="1:36" x14ac:dyDescent="0.25">
      <c r="A457" s="39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28"/>
      <c r="N457" s="41"/>
      <c r="O457" s="40"/>
      <c r="P457" s="42"/>
      <c r="Q457" s="40"/>
      <c r="R457" s="43"/>
      <c r="S457" s="40"/>
      <c r="T457" s="44"/>
      <c r="U457" s="42"/>
      <c r="V457" s="40"/>
      <c r="W457" s="40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</row>
    <row r="458" spans="1:36" x14ac:dyDescent="0.25">
      <c r="A458" s="39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28"/>
      <c r="N458" s="41"/>
      <c r="O458" s="40"/>
      <c r="P458" s="42"/>
      <c r="Q458" s="40"/>
      <c r="R458" s="43"/>
      <c r="S458" s="40"/>
      <c r="T458" s="44"/>
      <c r="U458" s="42"/>
      <c r="V458" s="40"/>
      <c r="W458" s="40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</row>
    <row r="459" spans="1:36" x14ac:dyDescent="0.25">
      <c r="A459" s="39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28"/>
      <c r="N459" s="41"/>
      <c r="O459" s="40"/>
      <c r="P459" s="42"/>
      <c r="Q459" s="40"/>
      <c r="R459" s="43"/>
      <c r="S459" s="40"/>
      <c r="T459" s="44"/>
      <c r="U459" s="42"/>
      <c r="V459" s="40"/>
      <c r="W459" s="40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</row>
    <row r="460" spans="1:36" x14ac:dyDescent="0.25">
      <c r="A460" s="39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28"/>
      <c r="N460" s="41"/>
      <c r="O460" s="40"/>
      <c r="P460" s="42"/>
      <c r="Q460" s="40"/>
      <c r="R460" s="43"/>
      <c r="S460" s="40"/>
      <c r="T460" s="44"/>
      <c r="U460" s="42"/>
      <c r="V460" s="40"/>
      <c r="W460" s="40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</row>
    <row r="461" spans="1:36" x14ac:dyDescent="0.25">
      <c r="A461" s="39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28"/>
      <c r="N461" s="41"/>
      <c r="O461" s="40"/>
      <c r="P461" s="42"/>
      <c r="Q461" s="40"/>
      <c r="R461" s="43"/>
      <c r="S461" s="40"/>
      <c r="T461" s="44"/>
      <c r="U461" s="42"/>
      <c r="V461" s="40"/>
      <c r="W461" s="40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</row>
    <row r="462" spans="1:36" x14ac:dyDescent="0.25">
      <c r="A462" s="39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28"/>
      <c r="N462" s="41"/>
      <c r="O462" s="40"/>
      <c r="P462" s="42"/>
      <c r="Q462" s="40"/>
      <c r="R462" s="43"/>
      <c r="S462" s="40"/>
      <c r="T462" s="44"/>
      <c r="U462" s="42"/>
      <c r="V462" s="40"/>
      <c r="W462" s="40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</row>
    <row r="463" spans="1:36" x14ac:dyDescent="0.25">
      <c r="A463" s="39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28"/>
      <c r="N463" s="41"/>
      <c r="O463" s="40"/>
      <c r="P463" s="42"/>
      <c r="Q463" s="40"/>
      <c r="R463" s="43"/>
      <c r="S463" s="40"/>
      <c r="T463" s="44"/>
      <c r="U463" s="42"/>
      <c r="V463" s="40"/>
      <c r="W463" s="40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</row>
    <row r="464" spans="1:36" x14ac:dyDescent="0.25">
      <c r="A464" s="39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28"/>
      <c r="N464" s="41"/>
      <c r="O464" s="40"/>
      <c r="P464" s="42"/>
      <c r="Q464" s="40"/>
      <c r="R464" s="43"/>
      <c r="S464" s="40"/>
      <c r="T464" s="44"/>
      <c r="U464" s="42"/>
      <c r="V464" s="40"/>
      <c r="W464" s="40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</row>
    <row r="465" spans="1:36" x14ac:dyDescent="0.25">
      <c r="A465" s="39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28"/>
      <c r="N465" s="41"/>
      <c r="O465" s="40"/>
      <c r="P465" s="42"/>
      <c r="Q465" s="40"/>
      <c r="R465" s="43"/>
      <c r="S465" s="40"/>
      <c r="T465" s="44"/>
      <c r="U465" s="42"/>
      <c r="V465" s="40"/>
      <c r="W465" s="40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</row>
    <row r="466" spans="1:36" x14ac:dyDescent="0.25">
      <c r="A466" s="39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28"/>
      <c r="N466" s="41"/>
      <c r="O466" s="40"/>
      <c r="P466" s="42"/>
      <c r="Q466" s="40"/>
      <c r="R466" s="43"/>
      <c r="S466" s="40"/>
      <c r="T466" s="44"/>
      <c r="U466" s="42"/>
      <c r="V466" s="40"/>
      <c r="W466" s="40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</row>
    <row r="467" spans="1:36" x14ac:dyDescent="0.25">
      <c r="A467" s="39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28"/>
      <c r="N467" s="41"/>
      <c r="O467" s="40"/>
      <c r="P467" s="42"/>
      <c r="Q467" s="40"/>
      <c r="R467" s="43"/>
      <c r="S467" s="40"/>
      <c r="T467" s="44"/>
      <c r="U467" s="42"/>
      <c r="V467" s="40"/>
      <c r="W467" s="40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</row>
    <row r="468" spans="1:36" x14ac:dyDescent="0.25">
      <c r="A468" s="39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28"/>
      <c r="N468" s="41"/>
      <c r="O468" s="40"/>
      <c r="P468" s="42"/>
      <c r="Q468" s="40"/>
      <c r="R468" s="43"/>
      <c r="S468" s="40"/>
      <c r="T468" s="44"/>
      <c r="U468" s="42"/>
      <c r="V468" s="40"/>
      <c r="W468" s="40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</row>
    <row r="469" spans="1:36" x14ac:dyDescent="0.25">
      <c r="A469" s="39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28"/>
      <c r="N469" s="41"/>
      <c r="O469" s="40"/>
      <c r="P469" s="42"/>
      <c r="Q469" s="40"/>
      <c r="R469" s="43"/>
      <c r="S469" s="40"/>
      <c r="T469" s="44"/>
      <c r="U469" s="42"/>
      <c r="V469" s="40"/>
      <c r="W469" s="40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</row>
    <row r="470" spans="1:36" x14ac:dyDescent="0.25">
      <c r="A470" s="39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28"/>
      <c r="N470" s="41"/>
      <c r="O470" s="40"/>
      <c r="P470" s="42"/>
      <c r="Q470" s="40"/>
      <c r="R470" s="43"/>
      <c r="S470" s="40"/>
      <c r="T470" s="44"/>
      <c r="U470" s="42"/>
      <c r="V470" s="40"/>
      <c r="W470" s="40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</row>
    <row r="471" spans="1:36" x14ac:dyDescent="0.25">
      <c r="A471" s="39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28"/>
      <c r="N471" s="41"/>
      <c r="O471" s="40"/>
      <c r="P471" s="42"/>
      <c r="Q471" s="40"/>
      <c r="R471" s="43"/>
      <c r="S471" s="40"/>
      <c r="T471" s="44"/>
      <c r="U471" s="42"/>
      <c r="V471" s="40"/>
      <c r="W471" s="40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</row>
    <row r="472" spans="1:36" x14ac:dyDescent="0.25">
      <c r="A472" s="39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28"/>
      <c r="N472" s="41"/>
      <c r="O472" s="40"/>
      <c r="P472" s="42"/>
      <c r="Q472" s="40"/>
      <c r="R472" s="43"/>
      <c r="S472" s="40"/>
      <c r="T472" s="44"/>
      <c r="U472" s="42"/>
      <c r="V472" s="40"/>
      <c r="W472" s="40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</row>
    <row r="473" spans="1:36" x14ac:dyDescent="0.25">
      <c r="A473" s="39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28"/>
      <c r="N473" s="41"/>
      <c r="O473" s="40"/>
      <c r="P473" s="42"/>
      <c r="Q473" s="40"/>
      <c r="R473" s="43"/>
      <c r="S473" s="40"/>
      <c r="T473" s="44"/>
      <c r="U473" s="42"/>
      <c r="V473" s="40"/>
      <c r="W473" s="40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</row>
    <row r="474" spans="1:36" x14ac:dyDescent="0.25">
      <c r="A474" s="39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28"/>
      <c r="N474" s="41"/>
      <c r="O474" s="40"/>
      <c r="P474" s="42"/>
      <c r="Q474" s="40"/>
      <c r="R474" s="43"/>
      <c r="S474" s="40"/>
      <c r="T474" s="44"/>
      <c r="U474" s="42"/>
      <c r="V474" s="40"/>
      <c r="W474" s="40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</row>
    <row r="475" spans="1:36" x14ac:dyDescent="0.25">
      <c r="A475" s="39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28"/>
      <c r="N475" s="41"/>
      <c r="O475" s="40"/>
      <c r="P475" s="42"/>
      <c r="Q475" s="40"/>
      <c r="R475" s="43"/>
      <c r="S475" s="40"/>
      <c r="T475" s="44"/>
      <c r="U475" s="42"/>
      <c r="V475" s="40"/>
      <c r="W475" s="40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</row>
    <row r="476" spans="1:36" x14ac:dyDescent="0.25">
      <c r="A476" s="39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28"/>
      <c r="N476" s="41"/>
      <c r="O476" s="40"/>
      <c r="P476" s="42"/>
      <c r="Q476" s="40"/>
      <c r="R476" s="43"/>
      <c r="S476" s="40"/>
      <c r="T476" s="44"/>
      <c r="U476" s="42"/>
      <c r="V476" s="40"/>
      <c r="W476" s="40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</row>
    <row r="477" spans="1:36" x14ac:dyDescent="0.25">
      <c r="A477" s="39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28"/>
      <c r="N477" s="41"/>
      <c r="O477" s="40"/>
      <c r="P477" s="42"/>
      <c r="Q477" s="40"/>
      <c r="R477" s="43"/>
      <c r="S477" s="40"/>
      <c r="T477" s="44"/>
      <c r="U477" s="42"/>
      <c r="V477" s="40"/>
      <c r="W477" s="40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</row>
    <row r="478" spans="1:36" x14ac:dyDescent="0.25">
      <c r="A478" s="39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28"/>
      <c r="N478" s="41"/>
      <c r="O478" s="40"/>
      <c r="P478" s="42"/>
      <c r="Q478" s="40"/>
      <c r="R478" s="43"/>
      <c r="S478" s="40"/>
      <c r="T478" s="44"/>
      <c r="U478" s="42"/>
      <c r="V478" s="40"/>
      <c r="W478" s="40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</row>
    <row r="479" spans="1:36" x14ac:dyDescent="0.25">
      <c r="A479" s="39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28"/>
      <c r="N479" s="41"/>
      <c r="O479" s="40"/>
      <c r="P479" s="42"/>
      <c r="Q479" s="40"/>
      <c r="R479" s="43"/>
      <c r="S479" s="40"/>
      <c r="T479" s="44"/>
      <c r="U479" s="42"/>
      <c r="V479" s="40"/>
      <c r="W479" s="40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</row>
    <row r="480" spans="1:36" x14ac:dyDescent="0.25">
      <c r="A480" s="39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28"/>
      <c r="N480" s="41"/>
      <c r="O480" s="40"/>
      <c r="P480" s="42"/>
      <c r="Q480" s="40"/>
      <c r="R480" s="43"/>
      <c r="S480" s="40"/>
      <c r="T480" s="44"/>
      <c r="U480" s="42"/>
      <c r="V480" s="40"/>
      <c r="W480" s="40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</row>
    <row r="481" spans="1:36" x14ac:dyDescent="0.25">
      <c r="A481" s="39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28"/>
      <c r="N481" s="41"/>
      <c r="O481" s="40"/>
      <c r="P481" s="42"/>
      <c r="Q481" s="40"/>
      <c r="R481" s="43"/>
      <c r="S481" s="40"/>
      <c r="T481" s="44"/>
      <c r="U481" s="42"/>
      <c r="V481" s="40"/>
      <c r="W481" s="40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</row>
    <row r="482" spans="1:36" x14ac:dyDescent="0.25">
      <c r="A482" s="39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28"/>
      <c r="N482" s="41"/>
      <c r="O482" s="40"/>
      <c r="P482" s="42"/>
      <c r="Q482" s="40"/>
      <c r="R482" s="43"/>
      <c r="S482" s="40"/>
      <c r="T482" s="44"/>
      <c r="U482" s="42"/>
      <c r="V482" s="40"/>
      <c r="W482" s="40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</row>
    <row r="483" spans="1:36" x14ac:dyDescent="0.25">
      <c r="A483" s="39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28"/>
      <c r="N483" s="41"/>
      <c r="O483" s="40"/>
      <c r="P483" s="42"/>
      <c r="Q483" s="40"/>
      <c r="R483" s="43"/>
      <c r="S483" s="40"/>
      <c r="T483" s="44"/>
      <c r="U483" s="42"/>
      <c r="V483" s="40"/>
      <c r="W483" s="40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</row>
    <row r="484" spans="1:36" x14ac:dyDescent="0.25">
      <c r="A484" s="39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28"/>
      <c r="N484" s="41"/>
      <c r="O484" s="40"/>
      <c r="P484" s="42"/>
      <c r="Q484" s="40"/>
      <c r="R484" s="43"/>
      <c r="S484" s="40"/>
      <c r="T484" s="44"/>
      <c r="U484" s="42"/>
      <c r="V484" s="40"/>
      <c r="W484" s="40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</row>
    <row r="485" spans="1:36" x14ac:dyDescent="0.25">
      <c r="A485" s="39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28"/>
      <c r="N485" s="41"/>
      <c r="O485" s="40"/>
      <c r="P485" s="42"/>
      <c r="Q485" s="40"/>
      <c r="R485" s="43"/>
      <c r="S485" s="40"/>
      <c r="T485" s="44"/>
      <c r="U485" s="42"/>
      <c r="V485" s="40"/>
      <c r="W485" s="40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</row>
    <row r="486" spans="1:36" x14ac:dyDescent="0.25">
      <c r="A486" s="39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28"/>
      <c r="N486" s="41"/>
      <c r="O486" s="40"/>
      <c r="P486" s="42"/>
      <c r="Q486" s="40"/>
      <c r="R486" s="43"/>
      <c r="S486" s="40"/>
      <c r="T486" s="44"/>
      <c r="U486" s="42"/>
      <c r="V486" s="40"/>
      <c r="W486" s="40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</row>
    <row r="487" spans="1:36" x14ac:dyDescent="0.25">
      <c r="A487" s="39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28"/>
      <c r="N487" s="41"/>
      <c r="O487" s="40"/>
      <c r="P487" s="42"/>
      <c r="Q487" s="40"/>
      <c r="R487" s="43"/>
      <c r="S487" s="40"/>
      <c r="T487" s="44"/>
      <c r="U487" s="42"/>
      <c r="V487" s="40"/>
      <c r="W487" s="40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</row>
    <row r="488" spans="1:36" x14ac:dyDescent="0.25">
      <c r="A488" s="39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28"/>
      <c r="N488" s="41"/>
      <c r="O488" s="40"/>
      <c r="P488" s="42"/>
      <c r="Q488" s="40"/>
      <c r="R488" s="43"/>
      <c r="S488" s="40"/>
      <c r="T488" s="44"/>
      <c r="U488" s="42"/>
      <c r="V488" s="40"/>
      <c r="W488" s="40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</row>
    <row r="489" spans="1:36" x14ac:dyDescent="0.25">
      <c r="A489" s="39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28"/>
      <c r="N489" s="41"/>
      <c r="O489" s="40"/>
      <c r="P489" s="42"/>
      <c r="Q489" s="40"/>
      <c r="R489" s="43"/>
      <c r="S489" s="40"/>
      <c r="T489" s="44"/>
      <c r="U489" s="42"/>
      <c r="V489" s="40"/>
      <c r="W489" s="40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</row>
    <row r="490" spans="1:36" x14ac:dyDescent="0.25">
      <c r="A490" s="39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28"/>
      <c r="N490" s="41"/>
      <c r="O490" s="40"/>
      <c r="P490" s="42"/>
      <c r="Q490" s="40"/>
      <c r="R490" s="43"/>
      <c r="S490" s="40"/>
      <c r="T490" s="44"/>
      <c r="U490" s="42"/>
      <c r="V490" s="40"/>
      <c r="W490" s="40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</row>
    <row r="491" spans="1:36" x14ac:dyDescent="0.25">
      <c r="A491" s="39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28"/>
      <c r="N491" s="41"/>
      <c r="O491" s="40"/>
      <c r="P491" s="42"/>
      <c r="Q491" s="40"/>
      <c r="R491" s="43"/>
      <c r="S491" s="40"/>
      <c r="T491" s="44"/>
      <c r="U491" s="42"/>
      <c r="V491" s="40"/>
      <c r="W491" s="40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</row>
    <row r="492" spans="1:36" x14ac:dyDescent="0.25">
      <c r="A492" s="39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28"/>
      <c r="N492" s="41"/>
      <c r="O492" s="40"/>
      <c r="P492" s="42"/>
      <c r="Q492" s="40"/>
      <c r="R492" s="43"/>
      <c r="S492" s="40"/>
      <c r="T492" s="44"/>
      <c r="U492" s="42"/>
      <c r="V492" s="40"/>
      <c r="W492" s="40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</row>
    <row r="493" spans="1:36" x14ac:dyDescent="0.25">
      <c r="A493" s="39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28"/>
      <c r="N493" s="41"/>
      <c r="O493" s="40"/>
      <c r="P493" s="42"/>
      <c r="Q493" s="40"/>
      <c r="R493" s="43"/>
      <c r="S493" s="40"/>
      <c r="T493" s="44"/>
      <c r="U493" s="42"/>
      <c r="V493" s="40"/>
      <c r="W493" s="40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</row>
    <row r="494" spans="1:36" x14ac:dyDescent="0.25">
      <c r="A494" s="39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28"/>
      <c r="N494" s="41"/>
      <c r="O494" s="40"/>
      <c r="P494" s="42"/>
      <c r="Q494" s="40"/>
      <c r="R494" s="43"/>
      <c r="S494" s="40"/>
      <c r="T494" s="44"/>
      <c r="U494" s="42"/>
      <c r="V494" s="40"/>
      <c r="W494" s="40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</row>
    <row r="495" spans="1:36" x14ac:dyDescent="0.25">
      <c r="A495" s="39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28"/>
      <c r="N495" s="41"/>
      <c r="O495" s="40"/>
      <c r="P495" s="42"/>
      <c r="Q495" s="40"/>
      <c r="R495" s="43"/>
      <c r="S495" s="40"/>
      <c r="T495" s="44"/>
      <c r="U495" s="42"/>
      <c r="V495" s="40"/>
      <c r="W495" s="40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</row>
    <row r="496" spans="1:36" x14ac:dyDescent="0.25">
      <c r="A496" s="39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28"/>
      <c r="N496" s="41"/>
      <c r="O496" s="40"/>
      <c r="P496" s="42"/>
      <c r="Q496" s="40"/>
      <c r="R496" s="43"/>
      <c r="S496" s="40"/>
      <c r="T496" s="44"/>
      <c r="U496" s="42"/>
      <c r="V496" s="40"/>
      <c r="W496" s="40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</row>
    <row r="497" spans="1:36" x14ac:dyDescent="0.25">
      <c r="A497" s="39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28"/>
      <c r="N497" s="41"/>
      <c r="O497" s="40"/>
      <c r="P497" s="42"/>
      <c r="Q497" s="40"/>
      <c r="R497" s="43"/>
      <c r="S497" s="40"/>
      <c r="T497" s="44"/>
      <c r="U497" s="42"/>
      <c r="V497" s="40"/>
      <c r="W497" s="40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</row>
    <row r="498" spans="1:36" x14ac:dyDescent="0.25">
      <c r="A498" s="39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28"/>
      <c r="N498" s="41"/>
      <c r="O498" s="40"/>
      <c r="P498" s="42"/>
      <c r="Q498" s="40"/>
      <c r="R498" s="43"/>
      <c r="S498" s="40"/>
      <c r="T498" s="44"/>
      <c r="U498" s="42"/>
      <c r="V498" s="40"/>
      <c r="W498" s="40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</row>
    <row r="499" spans="1:36" x14ac:dyDescent="0.25">
      <c r="A499" s="39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28"/>
      <c r="N499" s="41"/>
      <c r="O499" s="40"/>
      <c r="P499" s="42"/>
      <c r="Q499" s="40"/>
      <c r="R499" s="43"/>
      <c r="S499" s="40"/>
      <c r="T499" s="44"/>
      <c r="U499" s="42"/>
      <c r="V499" s="40"/>
      <c r="W499" s="40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</row>
    <row r="500" spans="1:36" x14ac:dyDescent="0.25">
      <c r="A500" s="39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28"/>
      <c r="N500" s="41"/>
      <c r="O500" s="40"/>
      <c r="P500" s="42"/>
      <c r="Q500" s="40"/>
      <c r="R500" s="43"/>
      <c r="S500" s="40"/>
      <c r="T500" s="44"/>
      <c r="U500" s="42"/>
      <c r="V500" s="40"/>
      <c r="W500" s="40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</row>
    <row r="501" spans="1:36" x14ac:dyDescent="0.25">
      <c r="A501" s="39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28"/>
      <c r="N501" s="41"/>
      <c r="O501" s="40"/>
      <c r="P501" s="42"/>
      <c r="Q501" s="40"/>
      <c r="R501" s="43"/>
      <c r="S501" s="40"/>
      <c r="T501" s="44"/>
      <c r="U501" s="42"/>
      <c r="V501" s="40"/>
      <c r="W501" s="40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</row>
    <row r="502" spans="1:36" x14ac:dyDescent="0.25">
      <c r="A502" s="39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28"/>
      <c r="N502" s="41"/>
      <c r="O502" s="40"/>
      <c r="P502" s="42"/>
      <c r="Q502" s="40"/>
      <c r="R502" s="43"/>
      <c r="S502" s="40"/>
      <c r="T502" s="44"/>
      <c r="U502" s="42"/>
      <c r="V502" s="40"/>
      <c r="W502" s="40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</row>
    <row r="503" spans="1:36" x14ac:dyDescent="0.25">
      <c r="A503" s="39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28"/>
      <c r="N503" s="41"/>
      <c r="O503" s="40"/>
      <c r="P503" s="42"/>
      <c r="Q503" s="40"/>
      <c r="R503" s="43"/>
      <c r="S503" s="40"/>
      <c r="T503" s="44"/>
      <c r="U503" s="42"/>
      <c r="V503" s="40"/>
      <c r="W503" s="40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</row>
    <row r="504" spans="1:36" x14ac:dyDescent="0.25">
      <c r="A504" s="39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28"/>
      <c r="N504" s="41"/>
      <c r="O504" s="40"/>
      <c r="P504" s="42"/>
      <c r="Q504" s="40"/>
      <c r="R504" s="43"/>
      <c r="S504" s="40"/>
      <c r="T504" s="44"/>
      <c r="U504" s="42"/>
      <c r="V504" s="40"/>
      <c r="W504" s="40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</row>
    <row r="505" spans="1:36" x14ac:dyDescent="0.25">
      <c r="A505" s="39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28"/>
      <c r="N505" s="41"/>
      <c r="O505" s="40"/>
      <c r="P505" s="42"/>
      <c r="Q505" s="40"/>
      <c r="R505" s="43"/>
      <c r="S505" s="40"/>
      <c r="T505" s="44"/>
      <c r="U505" s="42"/>
      <c r="V505" s="40"/>
      <c r="W505" s="40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</row>
    <row r="506" spans="1:36" x14ac:dyDescent="0.25">
      <c r="A506" s="39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28"/>
      <c r="N506" s="41"/>
      <c r="O506" s="40"/>
      <c r="P506" s="42"/>
      <c r="Q506" s="40"/>
      <c r="R506" s="43"/>
      <c r="S506" s="40"/>
      <c r="T506" s="44"/>
      <c r="U506" s="42"/>
      <c r="V506" s="40"/>
      <c r="W506" s="40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</row>
    <row r="507" spans="1:36" x14ac:dyDescent="0.25">
      <c r="A507" s="39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28"/>
      <c r="N507" s="41"/>
      <c r="O507" s="40"/>
      <c r="P507" s="42"/>
      <c r="Q507" s="40"/>
      <c r="R507" s="43"/>
      <c r="S507" s="40"/>
      <c r="T507" s="44"/>
      <c r="U507" s="42"/>
      <c r="V507" s="40"/>
      <c r="W507" s="40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</row>
    <row r="508" spans="1:36" x14ac:dyDescent="0.25">
      <c r="A508" s="39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28"/>
      <c r="N508" s="41"/>
      <c r="O508" s="40"/>
      <c r="P508" s="42"/>
      <c r="Q508" s="40"/>
      <c r="R508" s="43"/>
      <c r="S508" s="40"/>
      <c r="T508" s="44"/>
      <c r="U508" s="42"/>
      <c r="V508" s="40"/>
      <c r="W508" s="40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</row>
    <row r="509" spans="1:36" x14ac:dyDescent="0.25">
      <c r="A509" s="39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28"/>
      <c r="N509" s="41"/>
      <c r="O509" s="40"/>
      <c r="P509" s="42"/>
      <c r="Q509" s="40"/>
      <c r="R509" s="43"/>
      <c r="S509" s="40"/>
      <c r="T509" s="44"/>
      <c r="U509" s="42"/>
      <c r="V509" s="40"/>
      <c r="W509" s="40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</row>
    <row r="510" spans="1:36" x14ac:dyDescent="0.25">
      <c r="A510" s="39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28"/>
      <c r="N510" s="41"/>
      <c r="O510" s="40"/>
      <c r="P510" s="42"/>
      <c r="Q510" s="40"/>
      <c r="R510" s="43"/>
      <c r="S510" s="40"/>
      <c r="T510" s="44"/>
      <c r="U510" s="42"/>
      <c r="V510" s="40"/>
      <c r="W510" s="40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</row>
    <row r="511" spans="1:36" x14ac:dyDescent="0.25">
      <c r="A511" s="39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28"/>
      <c r="N511" s="41"/>
      <c r="O511" s="40"/>
      <c r="P511" s="42"/>
      <c r="Q511" s="40"/>
      <c r="R511" s="43"/>
      <c r="S511" s="40"/>
      <c r="T511" s="44"/>
      <c r="U511" s="42"/>
      <c r="V511" s="40"/>
      <c r="W511" s="40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</row>
    <row r="512" spans="1:36" x14ac:dyDescent="0.25">
      <c r="A512" s="39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28"/>
      <c r="N512" s="41"/>
      <c r="O512" s="40"/>
      <c r="P512" s="42"/>
      <c r="Q512" s="40"/>
      <c r="R512" s="43"/>
      <c r="S512" s="40"/>
      <c r="T512" s="44"/>
      <c r="U512" s="42"/>
      <c r="V512" s="40"/>
      <c r="W512" s="40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</row>
    <row r="513" spans="1:36" x14ac:dyDescent="0.25">
      <c r="A513" s="39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28"/>
      <c r="N513" s="41"/>
      <c r="O513" s="40"/>
      <c r="P513" s="42"/>
      <c r="Q513" s="40"/>
      <c r="R513" s="43"/>
      <c r="S513" s="40"/>
      <c r="T513" s="44"/>
      <c r="U513" s="42"/>
      <c r="V513" s="40"/>
      <c r="W513" s="40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</row>
    <row r="514" spans="1:36" x14ac:dyDescent="0.25">
      <c r="A514" s="39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28"/>
      <c r="N514" s="41"/>
      <c r="O514" s="40"/>
      <c r="P514" s="42"/>
      <c r="Q514" s="40"/>
      <c r="R514" s="43"/>
      <c r="S514" s="40"/>
      <c r="T514" s="44"/>
      <c r="U514" s="42"/>
      <c r="V514" s="40"/>
      <c r="W514" s="40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</row>
    <row r="515" spans="1:36" x14ac:dyDescent="0.25">
      <c r="A515" s="39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28"/>
      <c r="N515" s="41"/>
      <c r="O515" s="40"/>
      <c r="P515" s="42"/>
      <c r="Q515" s="40"/>
      <c r="R515" s="43"/>
      <c r="S515" s="40"/>
      <c r="T515" s="44"/>
      <c r="U515" s="42"/>
      <c r="V515" s="40"/>
      <c r="W515" s="40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</row>
    <row r="516" spans="1:36" x14ac:dyDescent="0.25">
      <c r="A516" s="39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28"/>
      <c r="N516" s="41"/>
      <c r="O516" s="40"/>
      <c r="P516" s="42"/>
      <c r="Q516" s="40"/>
      <c r="R516" s="43"/>
      <c r="S516" s="40"/>
      <c r="T516" s="44"/>
      <c r="U516" s="42"/>
      <c r="V516" s="40"/>
      <c r="W516" s="40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</row>
    <row r="517" spans="1:36" x14ac:dyDescent="0.25">
      <c r="A517" s="39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28"/>
      <c r="N517" s="41"/>
      <c r="O517" s="40"/>
      <c r="P517" s="42"/>
      <c r="Q517" s="40"/>
      <c r="R517" s="43"/>
      <c r="S517" s="40"/>
      <c r="T517" s="44"/>
      <c r="U517" s="42"/>
      <c r="V517" s="40"/>
      <c r="W517" s="40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</row>
    <row r="518" spans="1:36" x14ac:dyDescent="0.25">
      <c r="A518" s="39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28"/>
      <c r="N518" s="41"/>
      <c r="O518" s="40"/>
      <c r="P518" s="42"/>
      <c r="Q518" s="40"/>
      <c r="R518" s="43"/>
      <c r="S518" s="40"/>
      <c r="T518" s="44"/>
      <c r="U518" s="42"/>
      <c r="V518" s="40"/>
      <c r="W518" s="40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</row>
    <row r="519" spans="1:36" x14ac:dyDescent="0.25">
      <c r="A519" s="39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28"/>
      <c r="N519" s="41"/>
      <c r="O519" s="40"/>
      <c r="P519" s="42"/>
      <c r="Q519" s="40"/>
      <c r="R519" s="43"/>
      <c r="S519" s="40"/>
      <c r="T519" s="44"/>
      <c r="U519" s="42"/>
      <c r="V519" s="40"/>
      <c r="W519" s="40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</row>
    <row r="520" spans="1:36" x14ac:dyDescent="0.25">
      <c r="A520" s="39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28"/>
      <c r="N520" s="41"/>
      <c r="O520" s="40"/>
      <c r="P520" s="42"/>
      <c r="Q520" s="40"/>
      <c r="R520" s="43"/>
      <c r="S520" s="40"/>
      <c r="T520" s="44"/>
      <c r="U520" s="42"/>
      <c r="V520" s="40"/>
      <c r="W520" s="40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</row>
    <row r="521" spans="1:36" x14ac:dyDescent="0.25">
      <c r="A521" s="39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28"/>
      <c r="N521" s="41"/>
      <c r="O521" s="40"/>
      <c r="P521" s="42"/>
      <c r="Q521" s="40"/>
      <c r="R521" s="43"/>
      <c r="S521" s="40"/>
      <c r="T521" s="44"/>
      <c r="U521" s="42"/>
      <c r="V521" s="40"/>
      <c r="W521" s="40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</row>
    <row r="522" spans="1:36" x14ac:dyDescent="0.25">
      <c r="A522" s="39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28"/>
      <c r="N522" s="41"/>
      <c r="O522" s="40"/>
      <c r="P522" s="42"/>
      <c r="Q522" s="40"/>
      <c r="R522" s="43"/>
      <c r="S522" s="40"/>
      <c r="T522" s="44"/>
      <c r="U522" s="42"/>
      <c r="V522" s="40"/>
      <c r="W522" s="40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</row>
    <row r="523" spans="1:36" x14ac:dyDescent="0.25">
      <c r="A523" s="39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28"/>
      <c r="N523" s="41"/>
      <c r="O523" s="40"/>
      <c r="P523" s="42"/>
      <c r="Q523" s="40"/>
      <c r="R523" s="43"/>
      <c r="S523" s="40"/>
      <c r="T523" s="44"/>
      <c r="U523" s="42"/>
      <c r="V523" s="40"/>
      <c r="W523" s="40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</row>
    <row r="524" spans="1:36" x14ac:dyDescent="0.25">
      <c r="A524" s="39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28"/>
      <c r="N524" s="41"/>
      <c r="O524" s="40"/>
      <c r="P524" s="42"/>
      <c r="Q524" s="40"/>
      <c r="R524" s="43"/>
      <c r="S524" s="40"/>
      <c r="T524" s="44"/>
      <c r="U524" s="42"/>
      <c r="V524" s="40"/>
      <c r="W524" s="40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</row>
    <row r="525" spans="1:36" x14ac:dyDescent="0.25">
      <c r="A525" s="39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28"/>
      <c r="N525" s="41"/>
      <c r="O525" s="40"/>
      <c r="P525" s="42"/>
      <c r="Q525" s="40"/>
      <c r="R525" s="43"/>
      <c r="S525" s="40"/>
      <c r="T525" s="44"/>
      <c r="U525" s="42"/>
      <c r="V525" s="40"/>
      <c r="W525" s="40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</row>
    <row r="526" spans="1:36" x14ac:dyDescent="0.25">
      <c r="A526" s="39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28"/>
      <c r="N526" s="41"/>
      <c r="O526" s="40"/>
      <c r="P526" s="42"/>
      <c r="Q526" s="40"/>
      <c r="R526" s="43"/>
      <c r="S526" s="40"/>
      <c r="T526" s="44"/>
      <c r="U526" s="42"/>
      <c r="V526" s="40"/>
      <c r="W526" s="40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</row>
    <row r="527" spans="1:36" x14ac:dyDescent="0.25">
      <c r="A527" s="39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28"/>
      <c r="N527" s="41"/>
      <c r="O527" s="40"/>
      <c r="P527" s="42"/>
      <c r="Q527" s="40"/>
      <c r="R527" s="43"/>
      <c r="S527" s="40"/>
      <c r="T527" s="44"/>
      <c r="U527" s="42"/>
      <c r="V527" s="40"/>
      <c r="W527" s="40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</row>
    <row r="528" spans="1:36" x14ac:dyDescent="0.25">
      <c r="A528" s="39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28"/>
      <c r="N528" s="41"/>
      <c r="O528" s="40"/>
      <c r="P528" s="42"/>
      <c r="Q528" s="40"/>
      <c r="R528" s="43"/>
      <c r="S528" s="40"/>
      <c r="T528" s="44"/>
      <c r="U528" s="42"/>
      <c r="V528" s="40"/>
      <c r="W528" s="40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</row>
    <row r="529" spans="1:36" x14ac:dyDescent="0.25">
      <c r="A529" s="39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28"/>
      <c r="N529" s="41"/>
      <c r="O529" s="40"/>
      <c r="P529" s="42"/>
      <c r="Q529" s="40"/>
      <c r="R529" s="43"/>
      <c r="S529" s="40"/>
      <c r="T529" s="44"/>
      <c r="U529" s="42"/>
      <c r="V529" s="40"/>
      <c r="W529" s="40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</row>
    <row r="530" spans="1:36" x14ac:dyDescent="0.25">
      <c r="A530" s="39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28"/>
      <c r="N530" s="41"/>
      <c r="O530" s="40"/>
      <c r="P530" s="42"/>
      <c r="Q530" s="40"/>
      <c r="R530" s="43"/>
      <c r="S530" s="40"/>
      <c r="T530" s="44"/>
      <c r="U530" s="42"/>
      <c r="V530" s="40"/>
      <c r="W530" s="40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</row>
    <row r="531" spans="1:36" x14ac:dyDescent="0.25">
      <c r="A531" s="39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28"/>
      <c r="N531" s="41"/>
      <c r="O531" s="40"/>
      <c r="P531" s="42"/>
      <c r="Q531" s="40"/>
      <c r="R531" s="43"/>
      <c r="S531" s="40"/>
      <c r="T531" s="44"/>
      <c r="U531" s="42"/>
      <c r="V531" s="40"/>
      <c r="W531" s="40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</row>
    <row r="532" spans="1:36" x14ac:dyDescent="0.25">
      <c r="A532" s="39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28"/>
      <c r="N532" s="41"/>
      <c r="O532" s="40"/>
      <c r="P532" s="42"/>
      <c r="Q532" s="40"/>
      <c r="R532" s="43"/>
      <c r="S532" s="40"/>
      <c r="T532" s="44"/>
      <c r="U532" s="42"/>
      <c r="V532" s="40"/>
      <c r="W532" s="40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</row>
    <row r="533" spans="1:36" x14ac:dyDescent="0.25">
      <c r="A533" s="39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28"/>
      <c r="N533" s="41"/>
      <c r="O533" s="40"/>
      <c r="P533" s="42"/>
      <c r="Q533" s="40"/>
      <c r="R533" s="43"/>
      <c r="S533" s="40"/>
      <c r="T533" s="44"/>
      <c r="U533" s="42"/>
      <c r="V533" s="40"/>
      <c r="W533" s="40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</row>
    <row r="534" spans="1:36" x14ac:dyDescent="0.25">
      <c r="A534" s="39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28"/>
      <c r="N534" s="41"/>
      <c r="O534" s="40"/>
      <c r="P534" s="42"/>
      <c r="Q534" s="40"/>
      <c r="R534" s="43"/>
      <c r="S534" s="40"/>
      <c r="T534" s="44"/>
      <c r="U534" s="42"/>
      <c r="V534" s="40"/>
      <c r="W534" s="40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</row>
    <row r="535" spans="1:36" x14ac:dyDescent="0.25">
      <c r="A535" s="39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28"/>
      <c r="N535" s="41"/>
      <c r="O535" s="40"/>
      <c r="P535" s="42"/>
      <c r="Q535" s="40"/>
      <c r="R535" s="43"/>
      <c r="S535" s="40"/>
      <c r="T535" s="44"/>
      <c r="U535" s="42"/>
      <c r="V535" s="40"/>
      <c r="W535" s="40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</row>
    <row r="536" spans="1:36" x14ac:dyDescent="0.25">
      <c r="A536" s="39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28"/>
      <c r="N536" s="41"/>
      <c r="O536" s="40"/>
      <c r="P536" s="42"/>
      <c r="Q536" s="40"/>
      <c r="R536" s="43"/>
      <c r="S536" s="40"/>
      <c r="T536" s="44"/>
      <c r="U536" s="42"/>
      <c r="V536" s="40"/>
      <c r="W536" s="40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</row>
    <row r="537" spans="1:36" x14ac:dyDescent="0.25">
      <c r="A537" s="39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28"/>
      <c r="N537" s="41"/>
      <c r="O537" s="40"/>
      <c r="P537" s="42"/>
      <c r="Q537" s="40"/>
      <c r="R537" s="43"/>
      <c r="S537" s="40"/>
      <c r="T537" s="44"/>
      <c r="U537" s="42"/>
      <c r="V537" s="40"/>
      <c r="W537" s="40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</row>
    <row r="538" spans="1:36" x14ac:dyDescent="0.25">
      <c r="A538" s="39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28"/>
      <c r="N538" s="41"/>
      <c r="O538" s="40"/>
      <c r="P538" s="42"/>
      <c r="Q538" s="40"/>
      <c r="R538" s="43"/>
      <c r="S538" s="40"/>
      <c r="T538" s="44"/>
      <c r="U538" s="42"/>
      <c r="V538" s="40"/>
      <c r="W538" s="40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</row>
    <row r="539" spans="1:36" x14ac:dyDescent="0.25">
      <c r="A539" s="39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28"/>
      <c r="N539" s="41"/>
      <c r="O539" s="40"/>
      <c r="P539" s="42"/>
      <c r="Q539" s="40"/>
      <c r="R539" s="43"/>
      <c r="S539" s="40"/>
      <c r="T539" s="44"/>
      <c r="U539" s="42"/>
      <c r="V539" s="40"/>
      <c r="W539" s="40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</row>
    <row r="540" spans="1:36" x14ac:dyDescent="0.25">
      <c r="A540" s="39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28"/>
      <c r="N540" s="41"/>
      <c r="O540" s="40"/>
      <c r="P540" s="42"/>
      <c r="Q540" s="40"/>
      <c r="R540" s="43"/>
      <c r="S540" s="40"/>
      <c r="T540" s="44"/>
      <c r="U540" s="42"/>
      <c r="V540" s="40"/>
      <c r="W540" s="40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</row>
    <row r="541" spans="1:36" x14ac:dyDescent="0.25">
      <c r="A541" s="39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28"/>
      <c r="N541" s="41"/>
      <c r="O541" s="40"/>
      <c r="P541" s="42"/>
      <c r="Q541" s="40"/>
      <c r="R541" s="43"/>
      <c r="S541" s="40"/>
      <c r="T541" s="44"/>
      <c r="U541" s="42"/>
      <c r="V541" s="40"/>
      <c r="W541" s="40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</row>
    <row r="542" spans="1:36" x14ac:dyDescent="0.25">
      <c r="A542" s="39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28"/>
      <c r="N542" s="41"/>
      <c r="O542" s="40"/>
      <c r="P542" s="42"/>
      <c r="Q542" s="40"/>
      <c r="R542" s="43"/>
      <c r="S542" s="40"/>
      <c r="T542" s="44"/>
      <c r="U542" s="42"/>
      <c r="V542" s="40"/>
      <c r="W542" s="40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</row>
    <row r="543" spans="1:36" x14ac:dyDescent="0.25">
      <c r="A543" s="39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28"/>
      <c r="N543" s="41"/>
      <c r="O543" s="40"/>
      <c r="P543" s="42"/>
      <c r="Q543" s="40"/>
      <c r="R543" s="43"/>
      <c r="S543" s="40"/>
      <c r="T543" s="44"/>
      <c r="U543" s="42"/>
      <c r="V543" s="40"/>
      <c r="W543" s="40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</row>
    <row r="544" spans="1:36" x14ac:dyDescent="0.25">
      <c r="A544" s="39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28"/>
      <c r="N544" s="41"/>
      <c r="O544" s="40"/>
      <c r="P544" s="42"/>
      <c r="Q544" s="40"/>
      <c r="R544" s="43"/>
      <c r="S544" s="40"/>
      <c r="T544" s="44"/>
      <c r="U544" s="42"/>
      <c r="V544" s="40"/>
      <c r="W544" s="40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</row>
    <row r="545" spans="1:36" x14ac:dyDescent="0.25">
      <c r="A545" s="39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28"/>
      <c r="N545" s="41"/>
      <c r="O545" s="40"/>
      <c r="P545" s="42"/>
      <c r="Q545" s="40"/>
      <c r="R545" s="43"/>
      <c r="S545" s="40"/>
      <c r="T545" s="44"/>
      <c r="U545" s="42"/>
      <c r="V545" s="40"/>
      <c r="W545" s="40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</row>
    <row r="546" spans="1:36" x14ac:dyDescent="0.25">
      <c r="A546" s="39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28"/>
      <c r="N546" s="41"/>
      <c r="O546" s="40"/>
      <c r="P546" s="42"/>
      <c r="Q546" s="40"/>
      <c r="R546" s="43"/>
      <c r="S546" s="40"/>
      <c r="T546" s="44"/>
      <c r="U546" s="42"/>
      <c r="V546" s="40"/>
      <c r="W546" s="40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</row>
    <row r="547" spans="1:36" x14ac:dyDescent="0.25">
      <c r="A547" s="39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28"/>
      <c r="N547" s="41"/>
      <c r="O547" s="40"/>
      <c r="P547" s="42"/>
      <c r="Q547" s="40"/>
      <c r="R547" s="43"/>
      <c r="S547" s="40"/>
      <c r="T547" s="44"/>
      <c r="U547" s="42"/>
      <c r="V547" s="40"/>
      <c r="W547" s="40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</row>
    <row r="548" spans="1:36" x14ac:dyDescent="0.25">
      <c r="A548" s="39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28"/>
      <c r="N548" s="41"/>
      <c r="O548" s="40"/>
      <c r="P548" s="42"/>
      <c r="Q548" s="40"/>
      <c r="R548" s="43"/>
      <c r="S548" s="40"/>
      <c r="T548" s="44"/>
      <c r="U548" s="42"/>
      <c r="V548" s="40"/>
      <c r="W548" s="40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</row>
    <row r="549" spans="1:36" x14ac:dyDescent="0.25">
      <c r="A549" s="39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28"/>
      <c r="N549" s="41"/>
      <c r="O549" s="40"/>
      <c r="P549" s="42"/>
      <c r="Q549" s="40"/>
      <c r="R549" s="43"/>
      <c r="S549" s="40"/>
      <c r="T549" s="44"/>
      <c r="U549" s="42"/>
      <c r="V549" s="40"/>
      <c r="W549" s="40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</row>
    <row r="550" spans="1:36" x14ac:dyDescent="0.25">
      <c r="A550" s="39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28"/>
      <c r="N550" s="41"/>
      <c r="O550" s="40"/>
      <c r="P550" s="42"/>
      <c r="Q550" s="40"/>
      <c r="R550" s="43"/>
      <c r="S550" s="40"/>
      <c r="T550" s="44"/>
      <c r="U550" s="42"/>
      <c r="V550" s="40"/>
      <c r="W550" s="40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</row>
    <row r="551" spans="1:36" x14ac:dyDescent="0.25">
      <c r="A551" s="39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28"/>
      <c r="N551" s="41"/>
      <c r="O551" s="40"/>
      <c r="P551" s="42"/>
      <c r="Q551" s="40"/>
      <c r="R551" s="43"/>
      <c r="S551" s="40"/>
      <c r="T551" s="44"/>
      <c r="U551" s="42"/>
      <c r="V551" s="40"/>
      <c r="W551" s="40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</row>
    <row r="552" spans="1:36" x14ac:dyDescent="0.25">
      <c r="A552" s="39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28"/>
      <c r="N552" s="41"/>
      <c r="O552" s="40"/>
      <c r="P552" s="42"/>
      <c r="Q552" s="40"/>
      <c r="R552" s="43"/>
      <c r="S552" s="40"/>
      <c r="T552" s="44"/>
      <c r="U552" s="42"/>
      <c r="V552" s="40"/>
      <c r="W552" s="40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</row>
    <row r="553" spans="1:36" x14ac:dyDescent="0.25">
      <c r="A553" s="39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28"/>
      <c r="N553" s="41"/>
      <c r="O553" s="40"/>
      <c r="P553" s="42"/>
      <c r="Q553" s="40"/>
      <c r="R553" s="43"/>
      <c r="S553" s="40"/>
      <c r="T553" s="44"/>
      <c r="U553" s="42"/>
      <c r="V553" s="40"/>
      <c r="W553" s="40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</row>
    <row r="554" spans="1:36" x14ac:dyDescent="0.25">
      <c r="A554" s="39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28"/>
      <c r="N554" s="41"/>
      <c r="O554" s="40"/>
      <c r="P554" s="42"/>
      <c r="Q554" s="40"/>
      <c r="R554" s="43"/>
      <c r="S554" s="40"/>
      <c r="T554" s="44"/>
      <c r="U554" s="42"/>
      <c r="V554" s="40"/>
      <c r="W554" s="40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</row>
    <row r="555" spans="1:36" x14ac:dyDescent="0.25">
      <c r="A555" s="39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28"/>
      <c r="N555" s="41"/>
      <c r="O555" s="40"/>
      <c r="P555" s="42"/>
      <c r="Q555" s="40"/>
      <c r="R555" s="43"/>
      <c r="S555" s="40"/>
      <c r="T555" s="44"/>
      <c r="U555" s="42"/>
      <c r="V555" s="40"/>
      <c r="W555" s="40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</row>
    <row r="556" spans="1:36" x14ac:dyDescent="0.25">
      <c r="A556" s="39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28"/>
      <c r="N556" s="41"/>
      <c r="O556" s="40"/>
      <c r="P556" s="42"/>
      <c r="Q556" s="40"/>
      <c r="R556" s="43"/>
      <c r="S556" s="40"/>
      <c r="T556" s="44"/>
      <c r="U556" s="42"/>
      <c r="V556" s="40"/>
      <c r="W556" s="40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</row>
    <row r="557" spans="1:36" x14ac:dyDescent="0.25">
      <c r="A557" s="39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28"/>
      <c r="N557" s="41"/>
      <c r="O557" s="40"/>
      <c r="P557" s="42"/>
      <c r="Q557" s="40"/>
      <c r="R557" s="43"/>
      <c r="S557" s="40"/>
      <c r="T557" s="44"/>
      <c r="U557" s="42"/>
      <c r="V557" s="40"/>
      <c r="W557" s="40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</row>
    <row r="558" spans="1:36" x14ac:dyDescent="0.25">
      <c r="A558" s="39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28"/>
      <c r="N558" s="41"/>
      <c r="O558" s="40"/>
      <c r="P558" s="42"/>
      <c r="Q558" s="40"/>
      <c r="R558" s="43"/>
      <c r="S558" s="40"/>
      <c r="T558" s="44"/>
      <c r="U558" s="42"/>
      <c r="V558" s="40"/>
      <c r="W558" s="40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</row>
    <row r="559" spans="1:36" x14ac:dyDescent="0.25">
      <c r="A559" s="39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28"/>
      <c r="N559" s="41"/>
      <c r="O559" s="40"/>
      <c r="P559" s="42"/>
      <c r="Q559" s="40"/>
      <c r="R559" s="43"/>
      <c r="S559" s="40"/>
      <c r="T559" s="44"/>
      <c r="U559" s="42"/>
      <c r="V559" s="40"/>
      <c r="W559" s="40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</row>
    <row r="560" spans="1:36" x14ac:dyDescent="0.25">
      <c r="A560" s="39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28"/>
      <c r="N560" s="41"/>
      <c r="O560" s="40"/>
      <c r="P560" s="42"/>
      <c r="Q560" s="40"/>
      <c r="R560" s="43"/>
      <c r="S560" s="40"/>
      <c r="T560" s="44"/>
      <c r="U560" s="42"/>
      <c r="V560" s="40"/>
      <c r="W560" s="40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</row>
    <row r="561" spans="1:36" x14ac:dyDescent="0.25">
      <c r="A561" s="39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28"/>
      <c r="N561" s="41"/>
      <c r="O561" s="40"/>
      <c r="P561" s="42"/>
      <c r="Q561" s="40"/>
      <c r="R561" s="43"/>
      <c r="S561" s="40"/>
      <c r="T561" s="44"/>
      <c r="U561" s="42"/>
      <c r="V561" s="40"/>
      <c r="W561" s="40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</row>
    <row r="562" spans="1:36" x14ac:dyDescent="0.25">
      <c r="A562" s="39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28"/>
      <c r="N562" s="41"/>
      <c r="O562" s="40"/>
      <c r="P562" s="42"/>
      <c r="Q562" s="40"/>
      <c r="R562" s="43"/>
      <c r="S562" s="40"/>
      <c r="T562" s="44"/>
      <c r="U562" s="42"/>
      <c r="V562" s="40"/>
      <c r="W562" s="40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</row>
    <row r="563" spans="1:36" x14ac:dyDescent="0.25">
      <c r="A563" s="39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28"/>
      <c r="N563" s="41"/>
      <c r="O563" s="40"/>
      <c r="P563" s="42"/>
      <c r="Q563" s="40"/>
      <c r="R563" s="43"/>
      <c r="S563" s="40"/>
      <c r="T563" s="44"/>
      <c r="U563" s="42"/>
      <c r="V563" s="40"/>
      <c r="W563" s="40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</row>
    <row r="564" spans="1:36" x14ac:dyDescent="0.25">
      <c r="A564" s="39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28"/>
      <c r="N564" s="41"/>
      <c r="O564" s="40"/>
      <c r="P564" s="42"/>
      <c r="Q564" s="40"/>
      <c r="R564" s="43"/>
      <c r="S564" s="40"/>
      <c r="T564" s="44"/>
      <c r="U564" s="42"/>
      <c r="V564" s="40"/>
      <c r="W564" s="40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</row>
    <row r="565" spans="1:36" x14ac:dyDescent="0.25">
      <c r="A565" s="39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28"/>
      <c r="N565" s="41"/>
      <c r="O565" s="40"/>
      <c r="P565" s="42"/>
      <c r="Q565" s="40"/>
      <c r="R565" s="43"/>
      <c r="S565" s="40"/>
      <c r="T565" s="44"/>
      <c r="U565" s="42"/>
      <c r="V565" s="40"/>
      <c r="W565" s="40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</row>
    <row r="566" spans="1:36" x14ac:dyDescent="0.25">
      <c r="A566" s="39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28"/>
      <c r="N566" s="41"/>
      <c r="O566" s="40"/>
      <c r="P566" s="42"/>
      <c r="Q566" s="40"/>
      <c r="R566" s="43"/>
      <c r="S566" s="40"/>
      <c r="T566" s="44"/>
      <c r="U566" s="42"/>
      <c r="V566" s="40"/>
      <c r="W566" s="40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</row>
    <row r="567" spans="1:36" x14ac:dyDescent="0.25">
      <c r="A567" s="39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28"/>
      <c r="N567" s="41"/>
      <c r="O567" s="40"/>
      <c r="P567" s="42"/>
      <c r="Q567" s="40"/>
      <c r="R567" s="43"/>
      <c r="S567" s="40"/>
      <c r="T567" s="44"/>
      <c r="U567" s="42"/>
      <c r="V567" s="40"/>
      <c r="W567" s="40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</row>
    <row r="568" spans="1:36" x14ac:dyDescent="0.25">
      <c r="A568" s="39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28"/>
      <c r="N568" s="41"/>
      <c r="O568" s="40"/>
      <c r="P568" s="42"/>
      <c r="Q568" s="40"/>
      <c r="R568" s="43"/>
      <c r="S568" s="40"/>
      <c r="T568" s="44"/>
      <c r="U568" s="42"/>
      <c r="V568" s="40"/>
      <c r="W568" s="40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</row>
    <row r="569" spans="1:36" x14ac:dyDescent="0.25">
      <c r="A569" s="39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28"/>
      <c r="N569" s="41"/>
      <c r="O569" s="40"/>
      <c r="P569" s="42"/>
      <c r="Q569" s="40"/>
      <c r="R569" s="43"/>
      <c r="S569" s="40"/>
      <c r="T569" s="44"/>
      <c r="U569" s="42"/>
      <c r="V569" s="40"/>
      <c r="W569" s="40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</row>
    <row r="570" spans="1:36" x14ac:dyDescent="0.25">
      <c r="A570" s="39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28"/>
      <c r="N570" s="41"/>
      <c r="O570" s="40"/>
      <c r="P570" s="42"/>
      <c r="Q570" s="40"/>
      <c r="R570" s="43"/>
      <c r="S570" s="40"/>
      <c r="T570" s="44"/>
      <c r="U570" s="42"/>
      <c r="V570" s="40"/>
      <c r="W570" s="40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</row>
  </sheetData>
  <mergeCells count="1">
    <mergeCell ref="A1:B1"/>
  </mergeCells>
  <hyperlinks>
    <hyperlink ref="E3" r:id="rId1" display="https://centropolis.ge/ru/" xr:uid="{524323BB-9AAC-46EF-8720-6FA68CDABE2A}"/>
    <hyperlink ref="F3" r:id="rId2" display="https://chat.whatsapp.com/Dh8s7x8wQilKELYOcufnYt" xr:uid="{FAA8D3F8-D99B-47C2-A2A1-F12982E6FB77}"/>
    <hyperlink ref="G3" r:id="rId3" display="https://drive.google.com/drive/folders/1xnTZb_UcBmQS0G4L_wwQQFtMbAza40y8?usp=sharing" xr:uid="{4993CB38-7551-484D-87D5-245D7D3DE6BD}"/>
    <hyperlink ref="H3" r:id="rId4" display="https://yandex.com.ge/maps/org/alliance_centropolis/169026326957/?ll=41.619529%2C41.645334&amp;z=16.33" xr:uid="{EBDF8E21-4748-4F97-812C-40C60A0D57B8}"/>
    <hyperlink ref="I3" r:id="rId5" display="https://ally.ge/auth/login" xr:uid="{FB720747-5D73-4F9C-969F-EA9DBA55DF4A}"/>
    <hyperlink ref="V3" r:id="rId6" display="https://www.youtube.com/watch?v=_3G6KtuAMe4" xr:uid="{BA2377C5-3CEE-4E02-A8A1-1B7D5E2A5E06}"/>
    <hyperlink ref="E4" r:id="rId7" display="https://alliance.ge/ru/projects/alliance-highline" xr:uid="{3C4EFD27-0646-41DF-B352-36AF9A9AE183}"/>
    <hyperlink ref="F4" r:id="rId8" display="https://chat.whatsapp.com/HHmFRbkcKPTFBHl5vkafqO" xr:uid="{4B83D674-14A9-4330-9ED9-43BA271AC249}"/>
    <hyperlink ref="G4" r:id="rId9" display="https://drive.google.com/drive/folders/1Z4JorqufxQWPrKgiE1h_T7Z60gZvsFYC?usp=drive_link" xr:uid="{476AE14C-4276-4E5C-A88D-18575F36A61F}"/>
    <hyperlink ref="H4" r:id="rId10" display="https://yandex.com/maps/-/CDHqaRNK" xr:uid="{11528C66-B1B2-49DA-8F01-F10DE5DAD94D}"/>
    <hyperlink ref="I4" r:id="rId11" display="https://ally.ge/auth/login" xr:uid="{E00846D9-8841-4F78-B41F-D0B005EA55C5}"/>
    <hyperlink ref="V4" r:id="rId12" display="https://www.youtube.com/watch?v=_3G6KtuAMe4" xr:uid="{6D15F03D-359E-4BFA-8F07-520C71D0B36D}"/>
    <hyperlink ref="E5" r:id="rId13" display="https://alliance.ge/ru/projects/alliance-privilege" xr:uid="{EFFA47D9-B416-4619-9488-5042B18D248E}"/>
    <hyperlink ref="F5" r:id="rId14" display="https://alliance.ge/en/projects/alliance-privilege" xr:uid="{4FE82984-6596-4131-85F9-22214A1C508C}"/>
    <hyperlink ref="G5" r:id="rId15" display="https://drive.google.com/drive/folders/17N2IYQROla5XrqKgMr9TW8cbn8tBLeZN?usp=drive_link" xr:uid="{E58C8656-F8B7-462F-AB01-D08F95D96E8C}"/>
    <hyperlink ref="H5" r:id="rId16" display="https://www.google.com/maps/place/Alliance+Privilege/data=!4m2!3m1!1s0x0:0x3d3b08bbdc82f822?sa=X&amp;ved=1t:2428&amp;ictx=111" xr:uid="{16F3E81C-EAF3-4198-9906-80AAAF7037D6}"/>
    <hyperlink ref="I5" r:id="rId17" display="https://ally.ge/auth/login" xr:uid="{46352A05-56B3-43C3-BE31-1582DE21C33B}"/>
    <hyperlink ref="C6" r:id="rId18" display="https://docs.google.com/document/d/1AhzniXrhZePHg0aLN24H_YAHIWdn5wxJIFljWwNbutg/edit?usp=share_link" xr:uid="{8CAB072D-86F1-456D-8FD9-0573D5B68123}"/>
    <hyperlink ref="E6" r:id="rId19" display="https://alliance.ge/ru/projects/renaissance-by-alliance" xr:uid="{2C88AEA9-2842-49C8-9A1A-88F0FBFAEE72}"/>
    <hyperlink ref="F6" r:id="rId20" display="https://chat.whatsapp.com/IyTDNfVDSrPLJdP00Kwvcu" xr:uid="{ABE961A4-9AAD-4F1E-AC37-3D5C751239AB}"/>
    <hyperlink ref="G6" r:id="rId21" display="https://drive.google.com/drive/folders/1NF0oUhCSmgo-Et51AoAAOInunI0H42SM?usp=drive_link" xr:uid="{BFF7543B-F876-4243-AB03-067FB93F20A0}"/>
    <hyperlink ref="H6" r:id="rId22" display="https://yandex.com.ge/maps/101399/kobuleti/?ll=41.782199%2C41.860917&amp;mode=whatshere&amp;whatshere%5Bpoint%5D=41.778816%2C41.860315&amp;whatshere%5Bzoom%5D=16.98&amp;z=16.98" xr:uid="{B484A8F0-5B77-4DD7-8546-2F66074A671B}"/>
    <hyperlink ref="I6" r:id="rId23" display="https://ally.ge/auth/login" xr:uid="{1F49C956-8799-4BC5-AFD6-7A584934C7D4}"/>
    <hyperlink ref="V6" r:id="rId24" display="https://www.youtube.com/watch?v=_3G6KtuAMe4" xr:uid="{67A3B7ED-879C-4B04-9654-2E5EFBB710E8}"/>
    <hyperlink ref="B7" r:id="rId25" display="https://drive.google.com/drive/folders/1-E9heP4-OZrOuKdT4GYOPxSL4OIc5JKc?usp=drive_link" xr:uid="{0147FFF8-F60C-4271-AD83-E6C945C1FBF5}"/>
    <hyperlink ref="E7" r:id="rId26" display="https://islandambassadori.com/?utm_source=google+ads&amp;utm_medium=cpc&amp;utm_campaign=branded_search_eng&amp;gad_source=1&amp;gad_campaignid=22164371188&amp;gbraid=0AAAAA-pqvSdHGxAKCGgjU8JP_FG9gwKt4&amp;gclid=Cj0KCQjwl5jHBhDHARIsAB0YqjyBbb_7rdufXycQnDn1nf7S1ap_I7CelTKUI3pWgOIECQtv9e79BAAaApsKEALw_wcB" xr:uid="{E76F9E49-81A2-45BF-BEC3-4D3EFA98FA12}"/>
    <hyperlink ref="F7" r:id="rId27" display="https://chat.whatsapp.com/FpeFRA95oCR3cY9DuiVx5e" xr:uid="{DC567233-E34A-4840-A748-72E78ED7C72B}"/>
    <hyperlink ref="G7" r:id="rId28" display="https://drive.google.com/drive/folders/1KC4G48fHbXEpwjbW9mlJ8vrjVRQQ-ywt?usp=drive_link" xr:uid="{393450AB-A59A-44E0-B177-E95B393670B4}"/>
    <hyperlink ref="H7" r:id="rId29" display="https://www.google.com/maps/place/Ambassadori+Island+Batumi/@41.65044,41.665955,15z/data=!4m6!3m5!1s0x406787f260b61127:0x78b5507d8e2d173b!8m2!3d41.6504405!4d41.6659546!16s%2Fg%2F11w9svlskg?entry=ttu&amp;g_ep=EgoyMDI1MDkxNy4wIKXMDSoASAFQAw%3D%3D" xr:uid="{956AF403-0F49-4FC5-9498-06C025932956}"/>
    <hyperlink ref="I7" r:id="rId30" display="https://broker.islandambassadori.com/" xr:uid="{9F0F0118-506C-40E1-8DDB-EB64F1994696}"/>
    <hyperlink ref="V7" r:id="rId31" display="https://drive.google.com/drive/folders/1qDl-kELxHZNN0ruvP7auTBs5E00SS5Ce?usp=drive_link" xr:uid="{093B58CB-2A5D-4BDE-ADB8-BEB74CDD9270}"/>
    <hyperlink ref="F8" r:id="rId32" display="https://chat.whatsapp.com/BiEdRS0Yab0EhFpsGoNsN7" xr:uid="{699FEC85-E620-46B6-A93A-00C5E2ECC369}"/>
    <hyperlink ref="G8" r:id="rId33" display="https://drive.google.com/drive/folders/1gG3c8Zfv4yufpEwpMp-jq8sDoie-d-Da?usp=drive_link" xr:uid="{A44EBFFD-9C57-40A9-BD92-AA7B0A57E77A}"/>
    <hyperlink ref="H8" r:id="rId34" display="https://yandex.com.ge/maps/-/CHFbEG1E" xr:uid="{72D2C657-9660-4F1D-963A-858B025E5CDB}"/>
    <hyperlink ref="I8" r:id="rId35" location="/" display="https://flatshow.property/ru/Parkline - /" xr:uid="{27606F6D-CA5D-4EE7-929B-D2503A92A182}"/>
    <hyperlink ref="V8" r:id="rId36" display="https://www.youtube.com/watch?v=WuHJIGoyyB8" xr:uid="{0721FCCF-49E6-45CD-9CF6-0C2156846B4D}"/>
    <hyperlink ref="E9" r:id="rId37" display="https://www.intouristresidence.ge/?lang=en" xr:uid="{5A7AF556-97DB-48FE-A473-4D4B1472FA7C}"/>
    <hyperlink ref="F9" r:id="rId38" display="https://chat.whatsapp.com/GlpxB5ynQBjEB6QG0XVqhp" xr:uid="{42C608F8-E4BE-41AF-A951-1DDBC9DB705B}"/>
    <hyperlink ref="G9" r:id="rId39" display="https://drive.google.com/drive/folders/1XB1upPL445r74DQPnW5qJQ4mer51D7_M?usp=drive_link" xr:uid="{72369228-2520-4AB5-9AEA-40D060F45A1D}"/>
    <hyperlink ref="H9" r:id="rId40" display="https://yandex.com.ge/maps/10278/batumi/?ll=41.617534%2C41.640429&amp;mode=whatshere&amp;whatshere%5Bpoint%5D=41.617982%2C41.640672&amp;whatshere%5Bzoom%5D=18.33&amp;z=18.33" xr:uid="{9DFEA589-F182-4F2A-9E19-58C8C5EA02D3}"/>
    <hyperlink ref="I9" r:id="rId41" display="https://drive.google.com/drive/folders/113AVp3HKbSoFsWSIJy7lWo8zAujW43xj?usp=drive_link" xr:uid="{42C5EB09-08AB-4D6E-9E38-E58DFBEC54FB}"/>
    <hyperlink ref="V9" r:id="rId42" display="https://www.youtube.com/watch?v=d_6UgH3z-ac" xr:uid="{BFBC7FE9-CA69-4B82-AB39-ED6D882B9279}"/>
    <hyperlink ref="E10" r:id="rId43" display="https://www.intouristresidence.ge/?lang=en" xr:uid="{75930F55-2C14-466F-B376-2B988136FED8}"/>
    <hyperlink ref="F10" r:id="rId44" display="https://chat.whatsapp.com/GlpxB5ynQBjEB6QG0XVqhp" xr:uid="{D213E1D5-64F2-4BEA-BCDF-AA4D13B7E4B2}"/>
    <hyperlink ref="G10" r:id="rId45" display="https://drive.google.com/drive/folders/1XB1upPL445r74DQPnW5qJQ4mer51D7_M?usp=drive_link" xr:uid="{0B490F33-BC2E-452B-B063-FFF11CF5BC0D}"/>
    <hyperlink ref="H10" r:id="rId46" display="https://yandex.com.ge/maps/10278/batumi/?ll=41.617534%2C41.640429&amp;mode=whatshere&amp;whatshere%5Bpoint%5D=41.617982%2C41.640672&amp;whatshere%5Bzoom%5D=18.33&amp;z=18.33" xr:uid="{74ACD59C-2458-4BA5-B404-D875A86EBFDE}"/>
    <hyperlink ref="I10" r:id="rId47" display="https://drive.google.com/drive/folders/113AVp3HKbSoFsWSIJy7lWo8zAujW43xj?usp=drive_link" xr:uid="{A739D4B6-A1DD-4FB5-BBE8-93D82979D1AC}"/>
    <hyperlink ref="V10" r:id="rId48" display="https://www.youtube.com/watch?v=d_6UgH3z-ac" xr:uid="{307F8680-B2CF-4A47-BDD0-F4B91F88C7C6}"/>
    <hyperlink ref="G11" r:id="rId49" display="https://drive.google.com/drive/u/1/folders/1417_rV2lY6dlhDh-uSFvjBTJzzgCyw_z" xr:uid="{FD27076A-EC96-4FF6-B615-BD344C5ED1EB}"/>
    <hyperlink ref="H11" r:id="rId50" display="https://www.google.com/maps/place/Le+M%C3%A9ridien+Batumi/data=!4m2!3m1!1s0x0:0xfe44389e13969b8c?sa=X&amp;ved=1t:2428&amp;ictx=111" xr:uid="{334C012D-EB24-4B99-BE00-54B6A68D68F9}"/>
    <hyperlink ref="I11" r:id="rId51" display="https://drive.google.com/drive/u/0/folders/1exL95RWYPhPaabdLRI8Q4-Y4LEl_PFu1" xr:uid="{FB36D66C-BA67-413E-9E50-1DF2DE6E4449}"/>
    <hyperlink ref="E12" r:id="rId52" display="https://eltgroup.ge/en/" xr:uid="{B9019E3B-7E35-4107-A585-BC813BB52D43}"/>
    <hyperlink ref="F12" r:id="rId53" display="https://chat.whatsapp.com/LBREYkEnCkBH8U1VylXzH6" xr:uid="{901EB6BA-190E-442D-8394-360A7EDE61C3}"/>
    <hyperlink ref="G12" r:id="rId54" display="https://drive.google.com/drive/folders/1Yu5sqyGBWICqVVIM7nlwgkAph4BW8Xt9?usp=drive_link" xr:uid="{0CCC035F-3811-4C36-B96A-E10890EC479F}"/>
    <hyperlink ref="H12" r:id="rId55" display="https://yandex.com.ge/maps/10277/tbilisi/?ll=44.837908%2C41.677723&amp;mode=whatshere&amp;whatshere%5Bpoint%5D=44.838957%2C41.678406&amp;whatshere%5Bzoom%5D=17.13&amp;z=17.13" xr:uid="{13CF70BC-23A8-4772-B76B-CF66C5682676}"/>
    <hyperlink ref="I12" r:id="rId56" display="https://drive.google.com/drive/folders/18HS_Gg1ux6JidzwXaU8mPxybyQhqW20t?usp=drive_link" xr:uid="{9D877293-0A25-4CAB-A502-F3FD2A29032D}"/>
    <hyperlink ref="E13" r:id="rId57" display="https://eltgroup.ge/en/" xr:uid="{BFFD8C10-44B2-4EAD-85F4-DF8EC7EF280F}"/>
    <hyperlink ref="F13" r:id="rId58" display="https://chat.whatsapp.com/LBREYkEnCkBH8U1VylXzH6" xr:uid="{870DAB87-2ED3-454D-8CB7-0EA11AA901C6}"/>
    <hyperlink ref="G13" r:id="rId59" display="https://drive.google.com/drive/folders/1Yu5sqyGBWICqVVIM7nlwgkAph4BW8Xt9?usp=drive_link" xr:uid="{4F7F192C-B14B-434D-B97D-C8584738A5A3}"/>
    <hyperlink ref="H13" r:id="rId60" display="https://yandex.com.ge/maps/10277/tbilisi/?ll=44.837908%2C41.677723&amp;mode=whatshere&amp;whatshere%5Bpoint%5D=44.838957%2C41.678406&amp;whatshere%5Bzoom%5D=17.13&amp;z=17.13" xr:uid="{98E6B219-0103-4863-B8E6-6D3A94DF80C9}"/>
    <hyperlink ref="I13" r:id="rId61" display="https://drive.google.com/drive/folders/18HS_Gg1ux6JidzwXaU8mPxybyQhqW20t?usp=drive_link" xr:uid="{B999C228-731F-40B4-B58B-716F2FB0410B}"/>
    <hyperlink ref="E14" r:id="rId62" display="https://eltgroup.ge/en/Project/15/index.html" xr:uid="{4916E1EC-4825-4F79-AB80-EE7C350099F4}"/>
    <hyperlink ref="F14" r:id="rId63" display="https://chat.whatsapp.com/FZOYAdXLEha5sE15FYKuM6" xr:uid="{D4145B66-DCAC-4A37-A103-95532EEE1441}"/>
    <hyperlink ref="G14" r:id="rId64" display="https://drive.google.com/drive/folders/1BGGxI1lylagZd60nGIlUD8hkEXXe6h7E?usp=drive_link" xr:uid="{D9FA43DB-1372-4A1E-9C95-6A91ABEC2723}"/>
    <hyperlink ref="H14" r:id="rId65" display="https://yandex.com.ge/maps/10278/batumi/?ll=41.592168%2C41.621056&amp;mode=whatshere&amp;whatshere%5Bpoint%5D=41.590777%2C41.621373&amp;whatshere%5Bzoom%5D=17.93&amp;z=17.93" xr:uid="{6B490F85-1259-449E-8C60-9CF906E65EEF}"/>
    <hyperlink ref="I14" r:id="rId66" display="https://drive.google.com/drive/folders/1k-X3H9y7vWDnWcmficnSjyKTTZDYfhf0?usp=drive_link" xr:uid="{237F8D31-4A58-4A43-97C1-EBB2B610CDAE}"/>
    <hyperlink ref="E15" r:id="rId67" display="https://eltgroup.ge/en/Project/19/index.html" xr:uid="{6BCEFF7B-2D7D-4A52-BEA8-EC56ED3A92C8}"/>
    <hyperlink ref="F15" r:id="rId68" display="https://chat.whatsapp.com/DgQeciiQQfLL8OMent0HWw" xr:uid="{078FF2D7-DFB6-48FA-A5BF-63295B393D68}"/>
    <hyperlink ref="G15" r:id="rId69" display="https://drive.google.com/drive/folders/1Z9rXAawzSHPmOxTmJl2ol9-yYuyhbpuW?usp=drive_link" xr:uid="{C3824950-938E-4650-BFB7-A45F94EBBB24}"/>
    <hyperlink ref="H15" r:id="rId70" display="https://yandex.com/maps/-/CHQZuIOt" xr:uid="{DA1BD40C-52BC-4503-BCB6-7E42A7F4C3AD}"/>
    <hyperlink ref="I15" r:id="rId71" display="https://drive.google.com/drive/folders/1Jaj0kNOeWv3cqPtaaYivpHWtKtyzlVGD?usp=drive_link" xr:uid="{C630D174-6E47-43F2-BC5D-9445C2138EC8}"/>
    <hyperlink ref="E16" r:id="rId72" display="https://eltgroup.ge/ru/Project/20/index.html?gad_source=1&amp;gad_campaignid=22922203848&amp;gbraid=0AAAAACV3IBKppwk9eSOrlwyAC2aQvEAPP&amp;gclid=CjwKCAiA95fLBhBPEiwATXUsxAwoeDdtFq5NG2OZMOCyBCMbxNgaLI_wccvgYRpeLh4LXNsnUUZ3sRoC9ZYQAvD_BwE" xr:uid="{076BEE34-F5AD-4C10-98A2-0BD78D86E9A1}"/>
    <hyperlink ref="F16" r:id="rId73" display="https://chat.whatsapp.com/FLeVKPyb6s8EgDNXJ7nfM8" xr:uid="{1EA9247D-05B4-4557-9886-B4CD860D8F61}"/>
    <hyperlink ref="G16" r:id="rId74" display="https://drive.google.com/drive/folders/193YV_cDjwwzsFU8PQhYUADfXcmp2UPh5" xr:uid="{5030E9BF-1D4E-4F7D-9BEA-EB688CB27814}"/>
    <hyperlink ref="H16" r:id="rId75" display="https://www.google.com/maps/place/OXY+Residence/@41.6212205,41.5932271,16.25z/data=!4m14!1m7!3m6!1s0x406785df1ce120bd:0x477d1436a591d520!2z4YOo4YOe4YOhIOGDqOGDkOGDkeGDkA!8m2!3d41.6318695!4d41.6247972!16s%2Fg%2F11ll47mrzn!3m5!1s0x18a2d33103069b9:0x9466681b4cad67c4!8m2!3d41.6203599!4d41.5924054!16s%2Fg%2F11myvlq9cn?entry=ttu&amp;g_ep=EgoyMDI2MDEwNy4wIKXMDSoASAFQAw%3D%3D" xr:uid="{A9CA4EEF-0D54-4682-BB97-79335AB08C20}"/>
    <hyperlink ref="I16" r:id="rId76" display="https://drive.google.com/drive/folders/1aEpqun0RP1CVHJAuqY6zVYD61dpne3Hs" xr:uid="{3229D686-BE4C-498C-AC73-B115ABC70CE1}"/>
    <hyperlink ref="G17" r:id="rId77" display="https://drive.google.com/drive/folders/1sSjekMRuiNa9n2ZYk70alhn0smS38xZt" xr:uid="{A8F59EED-F6CC-4AAC-A934-38A76E0893F0}"/>
    <hyperlink ref="H17" r:id="rId78" display="https://www.google.com/maps/place/Krtsanisi/@41.6130897,44.8869715,14z/data=!3m1!4b1!4m6!3m5!1s0x40440f52e2b9dd73:0x4b90029f8bc47431!8m2!3d41.6134148!4d44.9083572!16s%2Fg%2F11clsytw9f?entry=ttu&amp;g_ep=EgoyMDI2MDIwMy4wIKXMDSoASAFQAw%3D%3D" xr:uid="{3F6627EA-A49F-4BD9-9B0F-89E9BD47B51D}"/>
    <hyperlink ref="E18" r:id="rId79" display="https://batumiisland.com/en" xr:uid="{525645F7-F938-4C4A-97F7-D034BAE31E3E}"/>
    <hyperlink ref="F18" r:id="rId80" display="https://chat.whatsapp.com/Bto0lXzAGJ6ASIRFuKX0Nz" xr:uid="{75726121-568E-402E-91D1-E1750D8D9D33}"/>
    <hyperlink ref="G18" r:id="rId81" display="https://drive.google.com/drive/folders/17sZqXsY_JrBCa-qtfsaBuMVxgHULO6Zd?usp=drive_link" xr:uid="{7B632CA9-3AB6-4186-A3D9-2CF456D607CF}"/>
    <hyperlink ref="H18" r:id="rId82" display="http://google.com/maps/place/Batumi+Island/data=!4m2!3m1!1s0x0:0xf17ab419aef28678?sa=X&amp;ved=1t:2428&amp;ictx=111" xr:uid="{9A7D659F-0954-42C5-B41B-3E10B8637E3D}"/>
    <hyperlink ref="I18" r:id="rId83" display="https://crm.g-plus.app/building-table/28d39c674a5342e6" xr:uid="{BAC6894A-C18E-4A70-9B51-2CE16124C315}"/>
    <hyperlink ref="E19" r:id="rId84" display="https://calligraphy-batumi.com/en" xr:uid="{AA00D224-87EA-44CA-B4BD-04550D35E34D}"/>
    <hyperlink ref="F19" r:id="rId85" display="https://chat.whatsapp.com/Jq1EMdpbz5f0dA9ePeLBrT?mode=ems_copy_c" xr:uid="{9119AD12-5AC4-4920-8878-65EF2E6028F5}"/>
    <hyperlink ref="G19" r:id="rId86" display="https://drive.google.com/drive/folders/1tSZDSjan2Mu5fvTTBozUmWeqJQRjhm9i?usp=drive_link" xr:uid="{6FBD979E-BF8B-40C5-B88F-8D7FDEC7AE55}"/>
    <hyperlink ref="H19" r:id="rId87" display="https://yandex.com.ge/maps/10278/batumi/house/YEgYcAVhTEUAQFprfXpydHtnYQ==/?ll=41.621507%2C41.635745&amp;z=16" xr:uid="{B30A1041-79C3-44F5-8722-C9192D0DC923}"/>
    <hyperlink ref="I19" r:id="rId88" display="https://drive.google.com/drive/folders/1oGf7Tpzwx8maeOC2fYpgMUa4mWCc7NNW?usp=drive_link" xr:uid="{BE29AB8B-DD1D-444D-BE03-9F4415F4E894}"/>
    <hyperlink ref="C20" r:id="rId89" display="https://drive.google.com/file/d/1bqWQeB_kmqcPxmqfsKMTShfooPUlBj11/view?usp=drive_link" xr:uid="{38651F19-A319-433D-B49D-6F6E0D690DDE}"/>
    <hyperlink ref="E20" r:id="rId90" display="https://greenside.ge/" xr:uid="{141A29AE-558E-4F16-972D-D53F63B5811A}"/>
    <hyperlink ref="F20" r:id="rId91" display="https://chat.whatsapp.com/IGywBUQlhd95CnjfKXikuA" xr:uid="{C84BCDDB-47E0-4DDD-8093-7343C1AEA082}"/>
    <hyperlink ref="G20" r:id="rId92" display="https://drive.google.com/drive/folders/1SiYnr0OsSTlMcOUH4UnyJXPumygXk4oi?usp=drive_link" xr:uid="{3EF7AA3A-15FA-4EC9-A612-06C0777DC243}"/>
    <hyperlink ref="H20" r:id="rId93" display="https://yandex.com.ge/maps/-/CDRJQEM6" xr:uid="{3A848585-4355-4F24-87A8-6F0769B93362}"/>
    <hyperlink ref="I20" r:id="rId94" display="https://drive.google.com/drive/folders/1WclbriQ94rCZE0HifntHjBN9yRC1kDgZ?usp=drive_link" xr:uid="{6B820D8B-AD25-4C93-890B-B8F1D93AD0FB}"/>
    <hyperlink ref="V20" r:id="rId95" display="https://www.youtube.com/watch?v=ZnnXfyC1Z4Y" xr:uid="{930D5F7C-BDB7-4D56-BD39-914186573D4F}"/>
    <hyperlink ref="E21" r:id="rId96" display="https://guruholding.ge/project_gurustatus" xr:uid="{FDB17947-3F53-4E1D-BB8A-849EDFD0CD1F}"/>
    <hyperlink ref="F21" r:id="rId97" display="https://chat.whatsapp.com/Izt8MQTvZi3BUbZnURNIyP" xr:uid="{B904457C-7170-40A5-9A88-60BDAD5CC262}"/>
    <hyperlink ref="G21" r:id="rId98" display="https://drive.google.com/drive/folders/1oPAegBYn-yTxOvUPYySK3ve_snZCp4AK?usp=drive_link" xr:uid="{71D2D848-A2E2-411D-AD9C-F0D1FD6524FE}"/>
    <hyperlink ref="H21" r:id="rId99" display="https://yandex.com.ge/maps/-/CDvoEN~U" xr:uid="{0BC3F61B-7E07-429F-8EC6-A91D26A75228}"/>
    <hyperlink ref="I21" r:id="rId100" display="https://drive.google.com/drive/folders/19Ar9IPGcqIE4Hq_PbcTm1W-VsbJpILRJ?usp=drive_link" xr:uid="{A36349DB-6A49-4815-9D73-B9A00A06514C}"/>
    <hyperlink ref="E22" r:id="rId101" display="https://guruholding.ge/project_subtropical" xr:uid="{2A18E9E5-3243-4307-AE58-6F2F0D10E199}"/>
    <hyperlink ref="F22" r:id="rId102" display="https://chat.whatsapp.com/DoMARVEf679FtxGgMb94An" xr:uid="{2CFD984D-9E6E-4AD7-8DF8-392AEC1049CA}"/>
    <hyperlink ref="G22" r:id="rId103" display="https://drive.google.com/drive/folders/1v5k1aPYD9IrfiymKzJS8Y-pA3xVrpNds?usp=drive_link" xr:uid="{C2AFD4B0-1B8E-4228-9487-B9D7890DEED5}"/>
    <hyperlink ref="H22" r:id="rId104" display="https://yandex.ru/maps/-/CLdgZAiT" xr:uid="{CD9BC8B0-08D5-4AE2-8C49-E9A477BB8E75}"/>
    <hyperlink ref="I22" r:id="rId105" display="https://drive.google.com/drive/folders/1SK7zwecjiQyxkuOLxaaNb4-wxP5VI79K?usp=drive_link" xr:uid="{6545C67A-EF77-4048-8095-7B912E201082}"/>
    <hyperlink ref="F23" r:id="rId106" display="https://chat.whatsapp.com/EtFZ0JZjpbgE1l9qWDYYDL" xr:uid="{253F6677-DD2E-4ABD-B073-B310B8D7EDB4}"/>
    <hyperlink ref="G23" r:id="rId107" display="https://drive.google.com/drive/folders/1JjhS-l33A8Dw2CBl4nCZMx8dofgTBnbN?usp=drive_link" xr:uid="{01F04B21-7A0B-4F44-8DA1-D80DAA9E96BB}"/>
    <hyperlink ref="H23" r:id="rId108" display="https://yandex.com.ge/maps/10278/batumi/house/YEgYcAdkTU0DQFprfXpyc3tgZg==/" xr:uid="{2DF7EB9E-8D2E-4EFE-99AD-BE9E4E67836E}"/>
    <hyperlink ref="I23" r:id="rId109" location="/" display="https://flatshow.property/strada - /" xr:uid="{3BD7F1E8-7E7E-4A65-A4DA-FA4CCB395D8D}"/>
    <hyperlink ref="E24" r:id="rId110" display="https://gumbati.ge/en/projects/montemar" xr:uid="{A9B8A27B-D3A4-4D6F-9306-87B3E319B995}"/>
    <hyperlink ref="F24" r:id="rId111" display="https://chat.whatsapp.com/EtFZ0JZjpbgE1l9qWDYYDL" xr:uid="{A55DD0FF-76BF-4E05-83D4-BC335EC5F751}"/>
    <hyperlink ref="H24" r:id="rId112" display="https://yandex.com.ge/maps/10278/batumi/geo/1622003649/?ll=41.566391%2C41.558333&amp;z=14" xr:uid="{76484D34-94AE-4981-A2D9-1D577B2469A6}"/>
    <hyperlink ref="I24" r:id="rId113" location="/" display="https://flatshow.property/montemar - /" xr:uid="{9F5BECEE-AB72-46AC-A919-C4B9E5EA9B51}"/>
    <hyperlink ref="E25" r:id="rId114" display="https://lagoon-resort.ge/" xr:uid="{E61F7083-BB27-478B-80AA-31DF31893C8D}"/>
    <hyperlink ref="F25" r:id="rId115" display="https://chat.whatsapp.com/EH3mV3GNeJfIj7EZzUfeMT" xr:uid="{138CF3A3-48F0-485B-B06D-484396D8E650}"/>
    <hyperlink ref="G25" r:id="rId116" display="https://drive.google.com/drive/folders/1FPwuiTorVKwzJdlnFNEEej7ANL81Fh2O?usp=drive_link" xr:uid="{07AA5E6A-8AEC-48E3-A286-7105F835AEDE}"/>
    <hyperlink ref="H25" r:id="rId117" display="https://yandex.com/maps/-/CDvqJB5f" xr:uid="{70B4E504-8511-4D12-B227-ADA5CFE7CD9C}"/>
    <hyperlink ref="I25" r:id="rId118" display="https://drive.google.com/drive/folders/1EPoCy2iRcx7NlIOqGNuRBzDVPP78H28Q?usp=drive_link" xr:uid="{4CA914C2-0D63-4688-824B-CE24DDA69AC6}"/>
    <hyperlink ref="V25" r:id="rId119" display="https://www.youtube.com/watch?v=Lp3PUpdsAuU" xr:uid="{6C11F021-0C4E-44DE-AD11-6DAF75EFB05C}"/>
    <hyperlink ref="A26" r:id="rId120" display="https://ikon.ge/partners_ru" xr:uid="{F8EB44DE-3819-4301-BA78-6202588A5070}"/>
    <hyperlink ref="E26" r:id="rId121" display="https://ikon.ge/" xr:uid="{93A9C1EA-DBAD-4543-8CC0-CF6B89F495D1}"/>
    <hyperlink ref="F26" r:id="rId122" display="https://chat.whatsapp.com/EnczMzRjXXVAkaJOjXtZkY" xr:uid="{F6722ED0-7C81-418F-AD66-FE4C2E784BF2}"/>
    <hyperlink ref="G26" r:id="rId123" display="https://drive.google.com/drive/folders/1S7cn-YUYcIWdrr0IcL9sOI6QUTDtS-na?usp=drive_link" xr:uid="{C25903E3-DE54-4537-ACF4-94A0C933A31E}"/>
    <hyperlink ref="H26" r:id="rId124" display="https://yandex.com/maps/-/CDxLiX~W" xr:uid="{6FC23723-47CF-4C4A-8615-4DEF90BEFA69}"/>
    <hyperlink ref="I26" r:id="rId125" display="https://ikonpartners.bitrix24.site/ru/" xr:uid="{F9902E69-B0FD-4F87-8A95-39BAAFAEE758}"/>
    <hyperlink ref="E27" r:id="rId126" display="https://kiwi-development.com/" xr:uid="{D9EDE5C1-ABCB-4C00-BEC2-5692F70B610C}"/>
    <hyperlink ref="F27" r:id="rId127" display="https://chat.whatsapp.com/Hcp6OPGUzfXLJJRYXhkvbu" xr:uid="{AB762CA9-176F-45CF-BAC2-1C458D429EB9}"/>
    <hyperlink ref="G27" r:id="rId128" display="https://drive.google.com/drive/folders/1H1WGSDz5uU-Ss0tiViHopdNfEzWUqU3O?usp=drive_link" xr:uid="{B87E4102-74CB-4EA1-8624-E874C5209343}"/>
    <hyperlink ref="H27" r:id="rId129" display="https://yandex.com.ge/maps/?ll=41.594613%2C41.578363&amp;mode=search&amp;sll=41.590417%2C41.577028&amp;text=41.577028%2C41.590417&amp;z=16" xr:uid="{80B87342-7D6C-4800-B942-FF296ECCF5F5}"/>
    <hyperlink ref="I27" r:id="rId130" display="https://drive.google.com/file/d/1YAR-qpyoqKOD7Dr0Qak2efqhWIqbX6j9/view?usp=drive_link" xr:uid="{4A316D26-5752-4894-B949-F1F954FE51CE}"/>
    <hyperlink ref="V27" r:id="rId131" display="https://www.youtube.com/watch?v=SSH6DDJod58" xr:uid="{4920B74A-53B9-49C7-9C63-8BC6B6AFA05A}"/>
    <hyperlink ref="E28" r:id="rId132" display="https://leontowers.com/" xr:uid="{C77E35ED-8440-4EFA-811E-72B7ABF13C43}"/>
    <hyperlink ref="F28" r:id="rId133" display="https://chat.whatsapp.com/F5ei7AcINCcG4hQ1Zx3tn2" xr:uid="{C5D16A47-0B0B-4152-9848-D67C3EDB3B0C}"/>
    <hyperlink ref="G28" r:id="rId134" display="https://drive.google.com/drive/folders/11ka6ojzlYjlqT89z4w-vU2tg1zT03MW2?usp=drive_link" xr:uid="{AA0A929E-E292-4E89-9197-5ADE3FBF5B11}"/>
    <hyperlink ref="H28" r:id="rId135" display="https://yandex.com.ge/maps/-/CHF8JOkc" xr:uid="{A62371A3-815B-48DC-9A46-68251CFA9C75}"/>
    <hyperlink ref="I28" r:id="rId136" display="https://drive.google.com/drive/folders/1jPwCi4aFHlovg0kGQW9PqlUe0ShKQZDI?usp=drive_link" xr:uid="{3E958DFF-218C-4E5D-9BE3-8620E65D09D5}"/>
    <hyperlink ref="E29" r:id="rId137" display="https://karas-group.com/ru/projects/grand-towers-batumi" xr:uid="{F3837AD0-0930-44E1-A8B0-D015502F1828}"/>
    <hyperlink ref="F29" r:id="rId138" display="https://chat.whatsapp.com/Cj5mt8qBLuQ7465vWA1Awm" xr:uid="{7C98CDF0-6F91-4BDA-8BC4-D02B027E0BD0}"/>
    <hyperlink ref="G29" r:id="rId139" display="https://drive.google.com/drive/folders/1UjDBboBdD2u48gJNJNSuiPrDIKp8agNb?usp=drive_link" xr:uid="{E4D95356-8E27-4A63-9AB2-064466E65CD6}"/>
    <hyperlink ref="H29" r:id="rId140" display="https://share.google/cuwAVLYaCK0t9H9rN" xr:uid="{7D7327B4-0D54-4ADA-AB24-2B6A495C41E1}"/>
    <hyperlink ref="I29" r:id="rId141" display="https://drive.google.com/drive/folders/1hXaNtexBCbHCsUkWgccTHHjY-VMQhgih?usp=drive_link" xr:uid="{303C995D-0EC5-45CB-8741-B361C748C3D3}"/>
    <hyperlink ref="E30" r:id="rId142" display="https://blueskytower.ge/ru" xr:uid="{FC924523-1222-4C7A-A0A4-99CD15D281FB}"/>
    <hyperlink ref="F30" r:id="rId143" display="https://chat.whatsapp.com/LeYPppl5o5iLCVpIQ5aLVa" xr:uid="{6EC5892C-58FE-4CEC-9694-783DD1B833F7}"/>
    <hyperlink ref="G30" r:id="rId144" display="https://drive.google.com/drive/folders/1zCtxnjzdR3r02V7wJq1zntv0LXOrG390?usp=drive_link" xr:uid="{772A0081-69B8-4383-BB36-7D4F7EB83036}"/>
    <hyperlink ref="H30" r:id="rId145" display="https://yandex.com.ge/maps/10278/batumi/house/YEgYcAZoSkQPQFprfXpyeX9mZw==/?ll=41.618318%2C41.638353&amp;z=17.13" xr:uid="{271137F3-CC6F-4821-9FEF-2133594BB10D}"/>
    <hyperlink ref="I30" r:id="rId146" display="https://drive.google.com/drive/folders/1ICAQMI-UkczWmedBJ_mfJgZTP3y6f-Fg?usp=drive_link" xr:uid="{BE1E8891-AA77-4EC2-A49A-4A9B6E7695E7}"/>
    <hyperlink ref="E31" r:id="rId147" display="https://prime-residence.ge/" xr:uid="{78BA2CE8-11DD-4671-8890-3AE3020635F3}"/>
    <hyperlink ref="F31" r:id="rId148" display="https://chat.whatsapp.com/DCmVi62jCVI3urrUgD6Tmy" xr:uid="{C656EA71-73CA-46EC-BDF7-7745F4A5E9F6}"/>
    <hyperlink ref="G31" r:id="rId149" display="https://drive.google.com/drive/folders/1BuuRX1Dwd0rbCq6dtgPq-E8Tk0YVy5uJ?usp=drive_link" xr:uid="{B7108969-4F77-424E-BA18-797928F5CA7C}"/>
    <hyperlink ref="H31" r:id="rId150" display="https://yandex.com.ge/maps/10278/batumi/geo/4963798326/?ll=41.595918%2C41.622147&amp;z=17.91" xr:uid="{8F167CDC-7CEC-4244-8E66-4E94EA07A5CD}"/>
    <hyperlink ref="I31" r:id="rId151" display="https://drive.google.com/drive/folders/1P9b-mWU_L7JYM11oSh6-E03TYSH0R66c" xr:uid="{34ADE6FD-899C-4EAD-BB7D-E21387D42FE1}"/>
    <hyperlink ref="G32" r:id="rId152" display="https://drive.google.com/drive/folders/1SfoDuk4l09Q9cuRXmbslervxhDGf6yGG" xr:uid="{FDFB3558-B956-4FC9-BDA1-142301F38CCB}"/>
    <hyperlink ref="H32" r:id="rId153" display="https://yandex.com.ge/maps/122054/autonomous-republic-of-adjara/geo/4859188576/?ll=41.754183%2C41.746550&amp;z=15.02" xr:uid="{BFB80D91-AB37-4B9A-A8A2-14B01D389B7B}"/>
    <hyperlink ref="I32" r:id="rId154" display="https://drive.google.com/drive/folders/1p6khe4xJHlCUQ09u71rtiXYHLhmCGG_t?usp=share_link" xr:uid="{E86EC501-A54C-4035-B532-14EBC9FE8832}"/>
    <hyperlink ref="E33" r:id="rId155" display="https://lisi.ge/" xr:uid="{B0A9BBB7-70CF-4C55-B278-2E0A78F449C4}"/>
    <hyperlink ref="F33" r:id="rId156" display="https://chat.whatsapp.com/C1bMwG4LxNH6pQsLeJJb1X" xr:uid="{FFB3B601-E088-4201-A098-A7134480698C}"/>
    <hyperlink ref="G33" r:id="rId157" display="https://drive.google.com/drive/folders/1SfoDuk4l09Q9cuRXmbslervxhDGf6yGG" xr:uid="{DA339BB6-CFDF-4170-BE3C-DD2EC877893D}"/>
    <hyperlink ref="H33" r:id="rId158" display="https://yandex.com.ge/maps/122054/autonomous-republic-of-adjara/geo/4859188576/?ll=41.754183%2C41.746550&amp;z=15.02" xr:uid="{89389C63-37D5-4C48-9E9E-E4295AAFC08C}"/>
    <hyperlink ref="I33" r:id="rId159" display="https://drive.google.com/drive/folders/1p6khe4xJHlCUQ09u71rtiXYHLhmCGG_t" xr:uid="{D4D9D372-AB36-409E-87B2-81B9291051D3}"/>
    <hyperlink ref="E34" r:id="rId160" display="https://www.metropol.ge/en/projects/batumi-cube-c1" xr:uid="{740FFE88-5A32-4FF2-8792-756D8F5EA3D1}"/>
    <hyperlink ref="F34" r:id="rId161" display="https://chat.whatsapp.com/Bb35LMHwDcTDGqDHxFS6fD" xr:uid="{35C5A51F-B3C0-4C69-A392-0A279E9D7600}"/>
    <hyperlink ref="G34" r:id="rId162" display="https://drive.google.com/drive/folders/1z5WajxYRzmxz6TiA9PalrpWX_pLN9iXa?usp=drive_link" xr:uid="{6D6A1E03-91BB-4BBF-9354-D38CA6E78B1A}"/>
    <hyperlink ref="H34" r:id="rId163" display="https://yandex.com.ge/maps/10278/batumi/?ll=41.616221%2C41.637608&amp;mode=whatshere&amp;whatshere%5Bpoint%5D=41.616053%2C41.638588&amp;whatshere%5Bzoom%5D=16.73&amp;z=16.73" xr:uid="{996883CF-4831-4A71-B25D-4ECD01A31164}"/>
    <hyperlink ref="I34" r:id="rId164" location="gid=1612423773" display="https://docs.google.com/spreadsheets/d/1JJGichoteZpV1vU3k7KlvEZXMVrjIXSuQ-DJo4dKNJk/edit?gid=1612423773 - gid=1612423773" xr:uid="{13B44F50-3ACB-43F3-998B-8B6949D255A9}"/>
    <hyperlink ref="E35" r:id="rId165" display="https://www.metropol.ge/en/projects/batumi-oval-o1" xr:uid="{387C98C8-2EC5-4BE2-805D-5F43DF4F9A4D}"/>
    <hyperlink ref="F35" r:id="rId166" display="https://chat.whatsapp.com/Bb35LMHwDcTDGqDHxFS6fD" xr:uid="{56D2AC24-B37F-49EA-9AD4-4B80042E02CB}"/>
    <hyperlink ref="G35" r:id="rId167" display="https://drive.google.com/drive/folders/1vOUIU-rlMz-QUM_UV6vupBSdnW-spFms?usp=drive_link" xr:uid="{4B292D5D-34C4-4499-9676-967B95E09DD0}"/>
    <hyperlink ref="H35" r:id="rId168" display="https://yandex.com.ge/maps/10278/batumi/house/YEgYcAZnTEEBQFprfXpydnlmbA==/?ll=41.617545%2C41.637558&amp;z=17.13" xr:uid="{7F88A379-46F0-45A6-B939-B3FC26904F91}"/>
    <hyperlink ref="I35" r:id="rId169" location="gid=1699204983" display="https://docs.google.com/spreadsheets/d/1bupz3K54M-25TjjINCzw2Qo4WveFixUyHc1I-xQRWzs/edit?gid=1699204983 - gid=1699204983" xr:uid="{442239A0-70EC-4B0C-952A-34D1F73FD21F}"/>
    <hyperlink ref="E36" r:id="rId170" display="https://www.metropol.ge/en/projects/parallel" xr:uid="{843CC740-90F4-4D69-A2C5-6942CAF7C117}"/>
    <hyperlink ref="F36" r:id="rId171" display="https://chat.whatsapp.com/KJMOYW99CXX1BU0GFb923F" xr:uid="{FF1EB743-2ADC-4702-833F-8A48955A54C8}"/>
    <hyperlink ref="G36" r:id="rId172" display="https://drive.google.com/drive/folders/1dsH24RxCkF-T1tKAGqUADIaulFBmIfE1?usp=drive_link" xr:uid="{83C54DD3-6C2E-40BA-9283-F99D8AD82712}"/>
    <hyperlink ref="H36" r:id="rId173" display="https://yandex.com.ge/maps/10278/batumi/house/YEgYcAZmTEQEQFprfXpyd3xmYQ==/?ll=41.616512%2C41.636055&amp;z=16" xr:uid="{41072109-5DF6-44BB-BC83-2868234BA26F}"/>
    <hyperlink ref="I36" r:id="rId174" location="gid=1849296446" display="https://docs.google.com/spreadsheets/d/10bKfvIoge8Pp1Uo2Sgi-z4lc6jyQLPsngH8oCvHDTKU/edit?sharingaction=ownershiptransfer&amp;gid=1849296446 - gid=1849296446" xr:uid="{42198FDF-80BB-4EF1-AA63-59F5EBC20BC8}"/>
    <hyperlink ref="E37" r:id="rId175" display="https://www.metropol.ge/en/projects/kavtaradze" xr:uid="{8E330E83-BEB4-4B45-93F5-2C1BD6F83D06}"/>
    <hyperlink ref="F37" r:id="rId176" display="https://chat.whatsapp.com/DMilYoclMCm9e31O6oPwIa" xr:uid="{471ACD08-D5AA-4F2E-AD8B-BB96E5882C1C}"/>
    <hyperlink ref="G37" r:id="rId177" display="https://drive.google.com/drive/folders/1U8GRoTJA8h9HpxggCpinEDYHe6vfi70z?usp=drive_link" xr:uid="{C6F87547-8294-4E35-9CD5-1E2E767D82DA}"/>
    <hyperlink ref="H37" r:id="rId178" display="https://yandex.com/maps/-/CDtIRYnz" xr:uid="{E9312776-3D7D-4006-91D0-4F4C0DD089A6}"/>
    <hyperlink ref="I37" r:id="rId179" display="https://drive.google.com/drive/folders/16rjqdozPpOHuU8SplCyVkC1E6VyC1nGu" xr:uid="{D6341B44-14F9-465B-902F-3B8F19DA5161}"/>
    <hyperlink ref="E38" r:id="rId180" display="https://www.metropol.ge/en/projects/ortachala" xr:uid="{2B28BF66-37E5-4D21-9CDF-ACD2C22821CC}"/>
    <hyperlink ref="F38" r:id="rId181" display="https://chat.whatsapp.com/BaKchh6KbjE4dyUQvLnaDI" xr:uid="{0360A920-6B56-4682-88F4-DBE8E4358B8F}"/>
    <hyperlink ref="G38" r:id="rId182" display="https://drive.google.com/drive/folders/1BQSbxYozLw9hlHxcKGQs-jGa7GypJ_Om?usp=drive_link" xr:uid="{A01762B7-C98A-4048-A43A-87FC5A585382}"/>
    <hyperlink ref="H38" r:id="rId183" display="https://yandex.com/maps/-/CDtIR83h" xr:uid="{9E5638E0-2859-4B13-ADD0-D95A03966DA0}"/>
    <hyperlink ref="I38" r:id="rId184" display="https://drive.google.com/drive/folders/13aVhKDRXcROfIZrVyL-RJV5u-sJow09d" xr:uid="{4A9A9F0A-7470-416B-AA36-999EC3717B83}"/>
    <hyperlink ref="E39" r:id="rId185" display="https://mziurigardens.ge/en/home" xr:uid="{D9D0A000-279A-4A00-9E77-895EDFD00906}"/>
    <hyperlink ref="F39" r:id="rId186" display="https://chat.whatsapp.com/DH0Kh2NXvVT453OPwpKzPI" xr:uid="{9E4BC9EB-28A6-4EE7-84F1-E7B7103798C8}"/>
    <hyperlink ref="G39" r:id="rId187" display="https://drive.google.com/drive/folders/1NtnjEL2DfTDSYNPYfL3MHKWJ-mQweO0E?usp=drive_link" xr:uid="{62279344-370C-49F4-B783-8E920FC96E9E}"/>
    <hyperlink ref="H39" r:id="rId188" display="https://yandex.com.ge/maps/10278/batumi/house/YEgYcA5jTkIAQFprfXp2cnpmYQ==/?ll=41.693777%2C41.673655&amp;z=17.13" xr:uid="{A13BD8FF-A9F8-4BA7-80D8-63CCA1416A55}"/>
    <hyperlink ref="I39" r:id="rId189" display="https://drive.google.com/drive/folders/1Qy3c4cbVLqZk-XmwEteGTNFytpYeh7P_" xr:uid="{3716401C-3112-4976-B1CE-8CC7C65DDF3E}"/>
    <hyperlink ref="E40" r:id="rId190" display="https://mziuridevelopment.ge/en/projects/mziuri-wellness" xr:uid="{87F918DD-CD78-4E56-B324-5F395E935A4F}"/>
    <hyperlink ref="F40" r:id="rId191" display="https://chat.whatsapp.com/BI1zxUV9yzSHDdboTpKjed" xr:uid="{6CC85044-5661-4901-A3FF-AFF176316BDF}"/>
    <hyperlink ref="G40" r:id="rId192" display="https://drive.google.com/drive/folders/1qN3anA6uld1p-ZjJHiw1Zk-dKX1OQK_E?usp=drive_link" xr:uid="{DB3C54E7-67B6-4615-90A3-AB59EE87AF4F}"/>
    <hyperlink ref="H40" r:id="rId193" display="https://yandex.com.ge/maps/122054/autonomous-republic-of-adjara/geo/4864318256/?ll=41.708203%2C41.669865&amp;z=17.28" xr:uid="{DCCD5D54-601B-4FFA-925E-7B176D085A15}"/>
    <hyperlink ref="I40" r:id="rId194" display="https://drive.google.com/drive/folders/1Qy3c4cbVLqZk-XmwEteGTNFytpYeh7P_" xr:uid="{6DD6D85E-55AB-4F81-9690-853B0F094DEF}"/>
    <hyperlink ref="E41" r:id="rId195" display="https://nextgroup.ge/ru/next-magnolia?srsltid=AfmBOor4ial3HEBMnVb5MjyWnOP3l-PLhs9ispwRF9Ca8P2IaDHQWO2Y" xr:uid="{CCE32782-B6E2-48A4-B218-85E7C10B34BD}"/>
    <hyperlink ref="G41" r:id="rId196" display="https://drive.google.com/drive/folders/1IIqn7KJgzeqQDdLDZUEjuJ_FQSlEvcPU?usp=drive_link" xr:uid="{5CC0364F-2BC9-4C9C-9E6E-67E8CC485695}"/>
    <hyperlink ref="H41" r:id="rId197" display="https://yandex.com.ge/maps/10278/batumi/house/YEgYcAZgTkIFQFprfXpzdXhhZg==/?ll=41.610772%2C41.624422&amp;z=16" xr:uid="{B0E6D1E5-E35B-4857-A181-A1FF900F8548}"/>
    <hyperlink ref="I41" r:id="rId198" location="/" display="https://flatshow.property/Next_Magnolia - /" xr:uid="{B9A426DA-3038-4AB6-97F6-41A6FD00256C}"/>
    <hyperlink ref="E42" r:id="rId199" display="https://nextgroup.ge/ru/next-collection?srsltid=AfmBOor4ial3HEBMnVb5MjyWnOP3l-PLhs9ispwRF9Ca8P2IaDHQWO2Y" xr:uid="{3470DD8D-B18A-4F71-94AC-89FC6E048D63}"/>
    <hyperlink ref="F42" r:id="rId200" display="https://chat.whatsapp.com/IttZwiHWmGnINqMMkh2fGb" xr:uid="{77CF8A00-4BA4-4F17-AFCC-9182B907C8B4}"/>
    <hyperlink ref="G42" r:id="rId201" display="https://drive.google.com/drive/folders/1Z86oxRou_NjMfyUPdSrvwGo7uY2cFd6d?usp=drive_link" xr:uid="{D1D90814-9BC2-4844-AB31-4C1B41D5635B}"/>
    <hyperlink ref="H42" r:id="rId202" display="https://yandex.com.ge/maps/-/CDulNT2o" xr:uid="{E3DB3FFE-BFC3-48B1-A4D0-DEF48F96F2FA}"/>
    <hyperlink ref="I42" r:id="rId203" display="https://linktr.ee/Next.Apartmets" xr:uid="{C84E523D-66C5-4F37-AAFC-A91D2872368C}"/>
    <hyperlink ref="E43" r:id="rId204" display="https://nextgroup.ge/ru/radisson?srsltid=AfmBOor4ial3HEBMnVb5MjyWnOP3l-PLhs9ispwRF9Ca8P2IaDHQWO2Y" xr:uid="{1706E4A7-5E28-41A4-A372-DD6846EC54EE}"/>
    <hyperlink ref="F43" r:id="rId205" display="https://chat.whatsapp.com/B6ypHE5QfRxEc0RvBR0UVw" xr:uid="{3332A3E3-DEB5-4B29-A487-8AC64717F681}"/>
    <hyperlink ref="G43" r:id="rId206" display="https://drive.google.com/drive/folders/1k5WDFAUoZlP4kPjMJGIzyUiW1THS72Ji?usp=drive_link" xr:uid="{94FC109C-C0D9-4EFA-8093-2FE1A1AF202A}"/>
    <hyperlink ref="H43" r:id="rId207" display="https://yandex.com.ge/maps/10278/batumi/?ll=41.567545%2C41.560764&amp;mode=whatshere&amp;whatshere%5Bpoint%5D=41.566497%2C41.561068&amp;whatshere%5Bzoom%5D=16.85&amp;z=16.85" xr:uid="{87C4AEB5-9325-41A8-AB2B-8BB61745CAC1}"/>
    <hyperlink ref="I43" r:id="rId208" display="https://linktr.ee/Next.Apartmets" xr:uid="{2F295D8A-7D92-428A-AFF5-B9BE20725A7E}"/>
    <hyperlink ref="F44" r:id="rId209" display="https://chat.whatsapp.com/C5JcNEidZx283hvJ3SZqsZ" xr:uid="{9AA02184-AB88-4668-8B9F-FB99639EDE7F}"/>
    <hyperlink ref="G44" r:id="rId210" display="https://drive.google.com/drive/folders/14ZCS_7pYWpj7VY0cme_MQqW4yi-BwsQm?usp=drive_link" xr:uid="{78D4D06E-8805-4E8E-B619-34B2FE2A6A26}"/>
    <hyperlink ref="H44" r:id="rId211" display="https://yandex.com.ge/maps/10278/batumi/?ll=41.605285%2C41.626556&amp;mode=whatshere&amp;whatshere%5Bpoint%5D=41.605233%2C41.626459&amp;whatshere%5Bzoom%5D=18.53&amp;z=18.53" xr:uid="{6057EEF0-2943-4FA3-B543-EE279CECA8F2}"/>
    <hyperlink ref="I44" r:id="rId212" display="https://drive.google.com/drive/folders/1nob2uyakornEPcPvFtr1wCS6PCnfbxZz" xr:uid="{15412D97-3A9C-4D09-BA12-E446115CBE83}"/>
    <hyperlink ref="E45" r:id="rId213" display="https://onedev.ge/ru/one" xr:uid="{994BBD17-90E6-472C-A620-5F938719E69F}"/>
    <hyperlink ref="F45" r:id="rId214" display="https://chat.whatsapp.com/DUw44o9XwVk8CRcrbsv1gy" xr:uid="{EBBBCC9A-7B6C-4607-9BA7-44DB9134B9C8}"/>
    <hyperlink ref="G45" r:id="rId215" display="https://drive.google.com/drive/folders/1AxfZMGIG4Gzc32eiom9621oS5XY3r5J_?usp=drive_link" xr:uid="{4CA97061-BC82-43B7-B908-B76945C19A3D}"/>
    <hyperlink ref="H45" r:id="rId216" display="https://yandex.com.ge/maps/10278/batumi/house/YEgYcAZkTE0GQFprfXpydH9qYA==/?ll=41.614581%2C41.635395&amp;z=17.13" xr:uid="{FEB48112-4509-4E5A-8F6E-F284C4C69DCF}"/>
    <hyperlink ref="I45" r:id="rId217" display="https://docs.google.com/spreadsheets/d/1peo7-Cga66w2YDB8vHYB3HIzqmIodan-/edit?usp=sharing&amp;ouid=113562457493731253032&amp;rtpof=true&amp;sd=true" xr:uid="{12DE04DC-3D99-48A7-9028-F001E86C2BD9}"/>
    <hyperlink ref="V45" r:id="rId218" display="https://www.youtube.com/watch?v=lB70a-MsUm8&amp;t" xr:uid="{7CCDB2C3-8170-4C4F-A249-5889FCCF4E5C}"/>
    <hyperlink ref="E46" r:id="rId219" display="https://onedev.ge/ru/stayrent" xr:uid="{BB6C1F26-5D69-4627-86DC-B92B3C764416}"/>
    <hyperlink ref="F46" r:id="rId220" display="https://chat.whatsapp.com/GFoHOUmWblC2UsPaZYkZSV" xr:uid="{A8E25FA9-9DFF-4881-A284-CD8DB491B6BC}"/>
    <hyperlink ref="G46" r:id="rId221" display="https://drive.google.com/drive/folders/1VZOYG0tOnYqxp3Zg3ClkPi-Qclkjjt1-?usp=drive_link" xr:uid="{38500FC0-5693-4591-BA74-A5D3E287F4A3}"/>
    <hyperlink ref="H46" r:id="rId222" display="https://yandex.com.ge/maps/-/CDV~mOz0" xr:uid="{1E67DA1A-2BDC-4C8B-9CF9-9E136199D2FB}"/>
    <hyperlink ref="I46" r:id="rId223" location="/" display="https://dev1.flat.show/spinners/StayRent - /" xr:uid="{BECD224B-511C-405E-8A1B-AA1561C5FC8A}"/>
    <hyperlink ref="V46" r:id="rId224" display="https://www.youtube.com/watch?v=lB70a-MsUm8&amp;t" xr:uid="{6EFB3BB8-815E-4FB4-9BC0-A637FCBF5DDE}"/>
    <hyperlink ref="E47" r:id="rId225" display="https://onedev.ge/ru/home" xr:uid="{44BBC8C2-298A-4956-89C3-3BBFE31A7756}"/>
    <hyperlink ref="F47" r:id="rId226" display="https://chat.whatsapp.com/CA6WkYoQHwJG9L4oEGaD9p" xr:uid="{596FB43D-ECD6-49B4-9661-01786854FE28}"/>
    <hyperlink ref="G47" r:id="rId227" display="https://drive.google.com/drive/folders/1m62Dmo-RZWgQmuwy8idHhPV3qyUnLJOC?usp=drive_link" xr:uid="{7354E861-4F52-4620-8E21-669F3F02AEC1}"/>
    <hyperlink ref="H47" r:id="rId228" display="https://yandex.com.ge/maps/?ll=41.593612%2C41.582386&amp;mode=whatshere&amp;whatshere%5Bpoint%5D=41.590864%2C41.580661&amp;whatshere%5Bzoom%5D=15.93&amp;z=15.93" xr:uid="{FFFDA086-246C-4CB7-A224-51AA0BF3A161}"/>
    <hyperlink ref="I47" r:id="rId229" location="/" display="https://home-batumi.ge/ru/townhouses - /" xr:uid="{EABD68BA-2EBF-41C8-BDF9-BAEF3852A6CB}"/>
    <hyperlink ref="V47" r:id="rId230" display="https://www.youtube.com/watch?v=lB70a-MsUm8&amp;t" xr:uid="{A2F51F01-76C3-40D9-942F-2E7C0ED54E09}"/>
    <hyperlink ref="F48" r:id="rId231" display="https://chat.whatsapp.com/EIfZeudMEgY6fTdHkjdVfp" xr:uid="{D925315F-E867-4FD6-9A94-A8851BF4D312}"/>
    <hyperlink ref="G48" r:id="rId232" display="https://drive.google.com/drive/folders/1Eaj06aEefs2bYkZ7ifLsY-P8B4hT3nAe?usp=drive_link" xr:uid="{1A0FF513-77D6-4E8E-865E-C1F13BFE7A20}"/>
    <hyperlink ref="H48" r:id="rId233" display="https://maps.app.goo.gl/cLJZoy2wr9tox75B6" xr:uid="{3A647592-E10B-4371-A103-574B19D04AFE}"/>
    <hyperlink ref="I48" r:id="rId234" display="https://sportcity-new-onedev.lovable.app/" xr:uid="{F3826B0A-FB4A-4DC1-969A-85BFE3E0AE25}"/>
    <hyperlink ref="E49" r:id="rId235" display="https://onedev.ge/ru/ramada" xr:uid="{8C01B226-AE1A-4026-AEEE-A5FA5ED6223B}"/>
    <hyperlink ref="F49" r:id="rId236" display="https://chat.whatsapp.com/HnHPcTmV0DXGcJdEGa6x8U" xr:uid="{6D4DCDE3-0D66-459B-B737-46C3D8EBF91C}"/>
    <hyperlink ref="G49" r:id="rId237" display="https://drive.google.com/drive/folders/1vRxDJ1UuNIJYweau78opizTFni12OoZ9" xr:uid="{F5CDD059-9D2F-4E58-868D-533457566038}"/>
    <hyperlink ref="H49" r:id="rId238" display="https://yandex.com.ge/maps/10278/batumi/house/YEgYcAZnTUABQFprfXp1cXRrYw==/?ll=41.617456%2C41.640887&amp;z=16" xr:uid="{E269E353-BB53-4041-BCC4-ECA6502E7CEA}"/>
    <hyperlink ref="I49" r:id="rId239" location="/" display="https://flatshow.property/ru/Ramada_Batumi - /" xr:uid="{D61290C7-81E3-4A34-8897-CF1A3462007B}"/>
    <hyperlink ref="V49" r:id="rId240" display="https://www.youtube.com/watch?v=HxpvV_65oRo" xr:uid="{0902D35E-0CBA-4F35-B266-B4A388865B4A}"/>
    <hyperlink ref="E50" r:id="rId241" display="https://lafamilia.ge/" xr:uid="{E9DFE006-DC5D-4E84-B763-3BC8AA4A9B15}"/>
    <hyperlink ref="F50" r:id="rId242" display="https://chat.whatsapp.com/CEy2y9sHAwe77oeNtPqjCe" xr:uid="{BBCAD9FC-3901-4035-8897-C673B7A5FD94}"/>
    <hyperlink ref="G50" r:id="rId243" display="https://drive.google.com/drive/folders/1DpeNwp1dMzQDfaG8dJj0MMLz9UsEosW7?usp=drive_link" xr:uid="{A0998A0A-6F14-4AD7-A95E-D9AAC0A80968}"/>
    <hyperlink ref="H50" r:id="rId244" display="https://yandex.com.ge/maps/-/CDRHqFLW" xr:uid="{6543D4CB-20C9-44B0-BFC6-ABDB6D4E1117}"/>
    <hyperlink ref="I50" r:id="rId245" display="https://drive.google.com/file/d/1m1xyz_rHzUH3k7XAXmkm8unM4w6sDkHU/view?usp=drive_link" xr:uid="{5F9D3ACB-A672-43A2-95E0-952C8C4E8BB5}"/>
    <hyperlink ref="V50" r:id="rId246" display="https://www.youtube.com/watch?v=P4e-3IOmO5U" xr:uid="{0BB27179-7021-4155-9E45-24EF6EBBDC52}"/>
    <hyperlink ref="E51" r:id="rId247" display="https://rogantinidevelopment.com/ru" xr:uid="{BF1F9D5F-2270-4F7A-B90F-7C78E0EC8C49}"/>
    <hyperlink ref="F51" r:id="rId248" display="https://chat.whatsapp.com/FrHlvgubrLCHm8u6HkVxAv" xr:uid="{D2801107-22BE-4683-ACFB-604071F43C6E}"/>
    <hyperlink ref="G51" r:id="rId249" display="https://drive.google.com/drive/folders/1uuhmom7KNJ94lax7FKbbd1JC2R0KsTMN?usp=drive_link" xr:uid="{C3D64A7B-612A-4B32-A1AB-221F2217B2B4}"/>
    <hyperlink ref="H51" r:id="rId250" display="https://yandex.com.ge/maps/?ll=41.739846%2C41.727578&amp;mode=whatshere&amp;whatshere%5Bpoint%5D=41.743346%2C41.727569&amp;whatshere%5Bzoom%5D=16.8&amp;z=16.8" xr:uid="{0AF80B0D-74E1-43EB-9F57-564FF137920C}"/>
    <hyperlink ref="I51" r:id="rId251" display="https://docs.google.com/spreadsheets/d/1EJY1LwT1EdysFP93bg0kkUGJxK-9vTMR/edit?usp=drive_link&amp;ouid=116084675561114154810&amp;rtpof=true&amp;sd=true" xr:uid="{B8DF0C66-08E2-46AC-838B-E8BFB1FF1ECE}"/>
    <hyperlink ref="E52" r:id="rId252" display="https://sunwaysuites.ge/" xr:uid="{69ED5837-D7E2-4994-95D0-5F9A927C887B}"/>
    <hyperlink ref="F52" r:id="rId253" display="https://chat.whatsapp.com/Kmr5ETSziafIfbjSO1GI3l" xr:uid="{21A55356-7EB3-43B9-A111-E847D290051D}"/>
    <hyperlink ref="G52" r:id="rId254" display="https://drive.google.com/drive/folders/1sWzD6WDVIJSeeBBAC4t5Ske1ReYYmA-7?usp=drive_link" xr:uid="{D1DB9231-7B0A-4241-A2DE-DADF2E77BF3B}"/>
    <hyperlink ref="H52" r:id="rId255" display="https://yandex.com.ge/maps/-/CHVhnDmM" xr:uid="{0967DEB1-42C9-4CCA-B825-0AD8324191DB}"/>
    <hyperlink ref="I52" r:id="rId256" display="https://drive.google.com/drive/folders/1TGV31gooF_X5oXf6bJ3tTY-k2WUu021q?usp=drive_link" xr:uid="{A6ED0752-0FB3-42EB-8B63-F609268ED46C}"/>
    <hyperlink ref="F53" r:id="rId257" display="https://chat.whatsapp.com/Hh72d9Gr6SH4yOrxk4DyoL?mode=gi_t" xr:uid="{8029D4F1-6E30-4790-833E-6CE27DDC8A3D}"/>
    <hyperlink ref="G53" r:id="rId258" display="https://drive.google.com/drive/folders/1gYZyIgGSnTpRUF8Yrrlf8FO4-HlzmJoQ" xr:uid="{C371710F-FA4D-4575-A1FA-A1127F40B92B}"/>
    <hyperlink ref="H53" r:id="rId259" display="http://google.com/maps/place/%D0%9A%D0%B0%D1%85%D0%B5%D1%82%D0%B8%D1%8F/data=!4m2!3m1!1s0x40468746afc43f8f:0xfd4f9b5de3e7dcb4?sa=X&amp;ved=1t:242&amp;ictx=111" xr:uid="{8CAC9617-6CB4-44B1-B286-4817CE0AA344}"/>
    <hyperlink ref="I53" r:id="rId260" display="https://drive.google.com/drive/folders/1zNSmEodzOsZhklNt4OC_Q4dLjgArrXh7?usp=drive_link" xr:uid="{2AC76A8A-8FA4-4549-AC19-D7D64E6EE87D}"/>
    <hyperlink ref="E54" r:id="rId261" display="https://tempoholding.ge/ru/queens" xr:uid="{2BCDCBEE-5CE5-488C-AE07-DA1D07554996}"/>
    <hyperlink ref="F54" r:id="rId262" display="https://chat.whatsapp.com/D6EMnL1xjMf7kNuSwytaHb" xr:uid="{DBD3AF2A-37B9-449F-9C54-5499AA2859FA}"/>
    <hyperlink ref="G54" r:id="rId263" display="https://drive.google.com/drive/folders/1BrVHt3GYshUKvi94uYpvBBTpfDJXPN0q?usp=drive_link" xr:uid="{BB7156A0-F953-42AE-8936-4EE4433BC573}"/>
    <hyperlink ref="H54" r:id="rId264" display="https://yandex.com.ge/maps/-/CDxOjD35" xr:uid="{840F46F4-CEE7-4A2B-8E06-14EE48728C1C}"/>
    <hyperlink ref="I54" r:id="rId265" display="https://drive.google.com/drive/folders/139ihZjdrb3gATeHTd0kWxYTxlMcIdtPh" xr:uid="{175B27B4-496B-4B58-910A-69A1E8B34E8D}"/>
    <hyperlink ref="V54" r:id="rId266" display="https://studio.youtube.com/video/uerbRLw0XBs/edit" xr:uid="{91924004-5E46-4985-AA63-DBBB4F39C3DC}"/>
    <hyperlink ref="E55" r:id="rId267" display="https://tempoholding.ge/ru/serenade" xr:uid="{65CFD982-D1E3-48DF-8714-EF771A45D414}"/>
    <hyperlink ref="F55" r:id="rId268" display="https://chat.whatsapp.com/D0MmfH2ERea7MRD8jTGK0U" xr:uid="{A897F7D7-94AB-460F-AB3F-6AFFAD049298}"/>
    <hyperlink ref="G55" r:id="rId269" display="https://drive.google.com/drive/folders/14VbdYqM3VNVzgMPpY-tBOUFa4OZurhxl?usp=drive_link" xr:uid="{67248BE7-0ACA-4A4C-BE06-E97E55225954}"/>
    <hyperlink ref="H55" r:id="rId270" display="https://yandex.com.ge/maps/-/CDxOjT5M" xr:uid="{9453522C-13FD-4193-ADA4-F3D88F5D10F1}"/>
    <hyperlink ref="I55" r:id="rId271" display="https://drive.google.com/drive/folders/1Qwt7ndpGQLpcrx4nbNZRp9G7MLcyqSpP" xr:uid="{2814D825-4C08-46C2-B5DB-E7E16BA2D502}"/>
    <hyperlink ref="V55" r:id="rId272" display="https://studio.youtube.com/video/uerbRLw0XBs/edit" xr:uid="{F33DC4C5-8387-4A9A-8983-063443835A8E}"/>
    <hyperlink ref="E56" r:id="rId273" display="https://tg.ge/project/MzianiValley" xr:uid="{5FBAD36D-97DE-48F7-934F-F89A21630D58}"/>
    <hyperlink ref="G56" r:id="rId274" display="https://drive.google.com/drive/folders/1Xu3fyDmE9220VB4qOevs1aQd2sWhnr4S?usp=drive_link" xr:uid="{4DF60E05-D2E9-40F7-8E77-59A39B8D0DF0}"/>
    <hyperlink ref="H56" r:id="rId275" display="https://yandex.com/maps/-/CHuW5InI" xr:uid="{E5AAE9BD-B887-41FE-B5FE-3A947A955A62}"/>
    <hyperlink ref="I56" r:id="rId276" display="https://drive.google.com/drive/folders/1Lkw5Mm0heDC7d38Ue4j4jKDJ72Nrqo2h" xr:uid="{073802D6-B25E-4D19-911C-943BAA72C14C}"/>
    <hyperlink ref="V56" r:id="rId277" display="https://www.youtube.com/watch?v=o1WqrJ9AU04" xr:uid="{CECFA4F3-9881-4798-822F-653E4A5ACF6E}"/>
    <hyperlink ref="E57" r:id="rId278" display="https://tg.ge/blogInner/36" xr:uid="{FA78AA00-5546-41D8-BAC2-ECBC4BCAABA0}"/>
    <hyperlink ref="F57" r:id="rId279" display="https://chat.whatsapp.com/DD07q7w4TRn49rwi7rhR2c" xr:uid="{703B2A08-42F8-43D6-A795-6D1DC0594A98}"/>
    <hyperlink ref="G57" r:id="rId280" display="https://drive.google.com/drive/folders/1v5XSvYYihoGqtfJ0eX1VNS921sulv6kn?usp=drive_link" xr:uid="{2D4BFF40-6464-43CF-B1DA-70576FEDC2C6}"/>
    <hyperlink ref="H57" r:id="rId281" display="https://yandex.com.ge/maps/101399/kobuleti/?ll=41.781053%2C41.799216&amp;mode=whatshere&amp;whatshere%5Bpoint%5D=41.786713%2C41.798065&amp;whatshere%5Bzoom%5D=16&amp;z=16" xr:uid="{3CBD29BB-F144-406D-AD9F-C31826C24961}"/>
    <hyperlink ref="I57" r:id="rId282" location="/floors" display="https://centralmg.ge/kvirike-residence/apartments - /floors" xr:uid="{C7C6AED7-2051-4C4C-AF8F-328EBBBCA69D}"/>
    <hyperlink ref="V57" r:id="rId283" display="https://youtu.be/e1gVyMHc3ts" xr:uid="{A5636EBC-0F79-434B-9566-4371E07A021A}"/>
    <hyperlink ref="E58" r:id="rId284" display="https://tg.ge/project/Panorama" xr:uid="{F2EA8726-47AA-4AD1-9B28-275FE2ECD1AC}"/>
    <hyperlink ref="F58" r:id="rId285" display="https://chat.whatsapp.com/KMjWa0hF1Uo8gozq7nenMd" xr:uid="{86471CC6-FF3A-450B-8252-A7CCFC814B3E}"/>
    <hyperlink ref="G58" r:id="rId286" display="https://drive.google.com/drive/folders/1_rNgbH_gX2U1CqOFlljuwcaiZ-Dz-vIT?usp=drive_link" xr:uid="{051A1549-762A-4F90-B9C5-E61883DF2FC4}"/>
    <hyperlink ref="H58" r:id="rId287" display="https://yandex.com.ge/maps/10278/batumi/house/YEgYcABoSkwPQFprfXp0eHtibA==/?ll=41.681205%2C41.660439&amp;z=16.81" xr:uid="{EFCD6961-08C3-4602-95AB-5B82B3C01AE7}"/>
    <hyperlink ref="I58" r:id="rId288" display="https://drive.google.com/drive/folders/1W7wNgibPMUthBCKKG0zFoEZYM2ukSTRm" xr:uid="{168C15A6-0CB7-46BF-BED7-786DE1E39068}"/>
    <hyperlink ref="V58" r:id="rId289" display="https://www.youtube.com/watch?v=o1WqrJ9AU04" xr:uid="{91D89F74-4304-4F32-BF41-D3054496C83F}"/>
    <hyperlink ref="E59" r:id="rId290" location="%D0%94%D1%8F%D0%BA%D1%83%D1%94%D0%BC%D0%BE" display="https://centralmg.ge/ru/piazza/apartments - %D0%94%D1%8F%D0%BA%D1%83%D1%94%D0%BC%D0%BE" xr:uid="{897B054F-E8FD-4815-A1E0-BF5580DAFB8D}"/>
    <hyperlink ref="F59" r:id="rId291" display="https://chat.whatsapp.com/IODimPIFxoHI0kn5u5Xu8D" xr:uid="{3243A637-5916-4CB0-9EBE-E043E293F41F}"/>
    <hyperlink ref="G59" r:id="rId292" display="https://drive.google.com/drive/folders/1BrOIsJI95xLA7ux7JPJpIjR7rQD2db3G?usp=drive_link" xr:uid="{D63278A8-7F9E-4FDC-8F03-2C4E451C8622}"/>
    <hyperlink ref="H59" r:id="rId293" display="https://yandex.com.ge/maps/-/CHRHUQof" xr:uid="{7CBFE275-892D-4450-8458-651197C7AF29}"/>
    <hyperlink ref="I59" r:id="rId294" location="/" display="https://centralmg.ge/ge/piazza/apartments - /" xr:uid="{16BBF5B1-0277-4267-8892-504638781D74}"/>
    <hyperlink ref="V59" r:id="rId295" display="https://www.youtube.com/watch?v=o1WqrJ9AU04" xr:uid="{19D84489-E8A1-47F6-98F5-5F2F7A2103A9}"/>
    <hyperlink ref="E60" r:id="rId296" display="https://pontus.ge/ru" xr:uid="{469544E1-6411-4981-B60B-166FD58AECF8}"/>
    <hyperlink ref="F60" r:id="rId297" display="https://chat.whatsapp.com/BlMXAwwk0SW0hGk1zRovks" xr:uid="{0A562503-5233-496A-889C-90EBF5DA0F1C}"/>
    <hyperlink ref="G60" r:id="rId298" display="https://drive.google.com/drive/u/1/folders/1F-ocYcICbu2tddFZPMgkgohxtlqE20Rc" xr:uid="{FDC708DB-C178-4082-8F16-CC55C0448999}"/>
    <hyperlink ref="H60" r:id="rId299" display="https://yandex.ru/maps/-/CLdkRD-d" xr:uid="{FF568AC8-298F-4617-A579-21C4F815143A}"/>
    <hyperlink ref="I60" r:id="rId300" display="https://drive.google.com/drive/folders/1plvAPco_mlEIp99qtcFW9woTkOlpAARh?usp=drive_link" xr:uid="{50AF5918-496C-4F11-96D1-4EC09D4B238B}"/>
    <hyperlink ref="E61" r:id="rId301" display="https://red-rc.ge/en" xr:uid="{5AD2629B-F4EC-4893-A392-7FCA48E82616}"/>
    <hyperlink ref="F61" r:id="rId302" display="https://chat.whatsapp.com/GX0sIiyWg2eKGAKOftpUKi?mode=ems_copy_c" xr:uid="{9BAD3D86-E5AB-4070-873D-3E773A391567}"/>
    <hyperlink ref="G61" r:id="rId303" display="https://drive.google.com/drive/folders/1I5nO9q0-Zyb3uzc5Jta7D4iPkSNChyTo?usp=drive_link" xr:uid="{B8A19299-3017-490E-B9BE-162DE6AA0780}"/>
    <hyperlink ref="H61" r:id="rId304" display="https://maps.app.goo.gl/kp5SKTbfmJp3a6my8" xr:uid="{FB452235-2A58-4FD9-8978-F30E34253315}"/>
    <hyperlink ref="I61" r:id="rId305" location="/catalog/house/123953/smallGrid?facadeId=56247" display="https://orangesales.ge/cabinet/applications - /catalog/house/123953/smallGrid?facadeId=56247" xr:uid="{DFD0DE7A-8400-4F36-A1D3-0834BA7994AE}"/>
    <hyperlink ref="V61" r:id="rId306" display="https://studio.youtube.com/video/J7yRqo6Idvs/edit" xr:uid="{C7F30C33-8A57-4151-8845-9F536B3BA44C}"/>
    <hyperlink ref="E62" r:id="rId307" display="https://historyhome.ge/" xr:uid="{8EF81982-FF49-4AA3-BC23-89CF646C5EAF}"/>
    <hyperlink ref="F62" r:id="rId308" display="https://chat.whatsapp.com/GX0sIiyWg2eKGAKOftpUKi?mode=ems_copy_c" xr:uid="{5A5D389B-A481-4244-8E2C-C15D8DFF5792}"/>
    <hyperlink ref="G62" r:id="rId309" display="https://drive.google.com/drive/folders/1DGAUbl4eAX_lLo6D8ToXohMhUIwq8Izv?usp=drive_link" xr:uid="{F20330CF-4D5D-4047-96A9-ABB2C18DBC72}"/>
    <hyperlink ref="H62" r:id="rId310" display="https://maps.app.goo.gl/J3xHZyKdPbDykgT86" xr:uid="{306F41BB-3EC0-413A-8551-E4E822BC522B}"/>
    <hyperlink ref="I62" r:id="rId311" location="/catalog/house/141575/facades?facadeId=60344" display="https://orangesales.ge/cabinet/applications - /catalog/house/141575/facades?facadeId=60344" xr:uid="{3B8C3311-00D4-48A2-82AC-AC605473E9B1}"/>
    <hyperlink ref="V62" r:id="rId312" display="https://youtu.be/Man_6rrnftg" xr:uid="{8FE4228D-4840-4F65-A991-422823923563}"/>
    <hyperlink ref="E63" r:id="rId313" display="https://silverpoint.ge/ru" xr:uid="{9849A3AC-6B59-4CEE-A31E-8204DC4CE8A2}"/>
    <hyperlink ref="F63" r:id="rId314" display="https://chat.whatsapp.com/GX0sIiyWg2eKGAKOftpUKi?mode=ems_copy_c" xr:uid="{BF0CF207-CA90-4940-8760-9F9223BE69BE}"/>
    <hyperlink ref="G63" r:id="rId315" display="https://drive.google.com/drive/folders/1rPrCXZnrAhmY53nAPXhUw46OY65vPj1V?usp=drive_link" xr:uid="{E7527C40-623C-42DB-897B-015341AFC8ED}"/>
    <hyperlink ref="H63" r:id="rId316" display="https://maps.app.goo.gl/a75K2KGH7GsMwUe2A" xr:uid="{858F7C8F-84B7-4C59-BF44-DB56B79CF3F2}"/>
    <hyperlink ref="I63" r:id="rId317" location="/catalog/house/136189/smallGrid?facadeId=59496" display="https://orangesales.ge/cabinet/applications - /catalog/house/136189/smallGrid?facadeId=59496" xr:uid="{F5950F79-B865-46FA-BA48-C74106A39FF7}"/>
    <hyperlink ref="V63" r:id="rId318" display="https://youtu.be/AV2piG7ooxk" xr:uid="{7C2B2668-1233-4ADB-AD8C-EFB80EB7B4CA}"/>
    <hyperlink ref="F64" r:id="rId319" display="https://chat.whatsapp.com/JzKXzyt6gX5KmpOp6HkqVe?mode=ems_share_c" xr:uid="{69CC7D0D-1956-4825-850A-76815A50675B}"/>
    <hyperlink ref="G64" r:id="rId320" display="https://drive.google.com/drive/folders/108eVzNKIYyFJ1ysFHgmBvDAYWK5c4XQZ?usp=drive_link" xr:uid="{475CFF08-4D09-495F-9F0F-268FE2D846E7}"/>
    <hyperlink ref="H64" r:id="rId321" display="https://share.google/F8RhKnViA3dej5esz" xr:uid="{F1C4D8D5-1384-439A-B670-8F0B1C77C710}"/>
    <hyperlink ref="I64" r:id="rId322" display="https://drive.google.com/drive/folders/1H3youmf1wApvqn8fnKWl5MrjFzwRWJuL?usp=drive_link" xr:uid="{EA8E2D44-44BB-4C4E-8840-B59D0F0135F4}"/>
    <hyperlink ref="V64" r:id="rId323" display="https://youtu.be/MhGx3bLqgDk" xr:uid="{946B118D-3D91-4B10-97F1-72B7FBF40822}"/>
    <hyperlink ref="C65" r:id="rId324" display="https://docs.google.com/spreadsheets/d/1c4mkBYUS_2arz4MF98D7Q8mubMmB8vjG/edit?usp=drive_link&amp;ouid=116084675561114154810&amp;rtpof=true&amp;sd=true" xr:uid="{056C6403-FE51-49D6-A545-FA0294FD7B59}"/>
    <hyperlink ref="E65" r:id="rId325" display="https://vrkrtsanisi.com/?utm_source=google&amp;utm_medium=cpc&amp;utm_campaign=g_pmax_krts_en_geo&amp;utm_content&amp;utm_term&amp;gad_source=1&amp;gad_campaignid=23274204941&amp;gbraid=0AAAAA-lMsBOx7oEAnHNYDU_Ez7N-Xd2VW&amp;gclid=CjwKCAiAlfvIBhA6EiwAcErpyaMFWwaxIKYnOm4w0FU98uzi2PDoLtD8JtWuKNn6Y9b_9zDLp5fkIxoC7xUQAvD_BwE" xr:uid="{1043A46D-5472-4AC9-BAED-6FB70DBF2483}"/>
    <hyperlink ref="F65" r:id="rId326" display="https://chat.whatsapp.com/HHIbYl2Y2zc3stHNYwEMII" xr:uid="{5F2F6BE0-3375-46DF-B088-36296F341C64}"/>
    <hyperlink ref="G65" r:id="rId327" display="https://drive.google.com/drive/folders/1ezMWa5eXeg2ooakHm8s9XqEFhuhvF4ap?usp=drive_link" xr:uid="{2677BEBD-EE63-49D5-B3DF-B01CE27D6E10}"/>
    <hyperlink ref="H65" r:id="rId328" display="https://yandex.com.ge/maps/?ll=41.782374%2C41.940943&amp;mode=whatshere&amp;whatshere%5Bpoint%5D=41.766236%2C41.944452&amp;whatshere%5Bzoom%5D=14.6&amp;z=14.6" xr:uid="{F0389184-FBD7-4614-B2A7-033114F64C5E}"/>
    <hyperlink ref="I65" r:id="rId329" display="https://drive.google.com/drive/folders/1QE9AONi-VtexAvaCtnZ1drUifCT-F3nN" xr:uid="{CDA5781F-6E79-4A56-B938-EEA69EDBAD8E}"/>
    <hyperlink ref="E66" r:id="rId330" display="https://andegroup.ge/ru/ande-metropolis/" xr:uid="{81B18717-23D1-4069-9095-F64BC961C463}"/>
    <hyperlink ref="F66" r:id="rId331" display="https://chat.whatsapp.com/FEY35HV9sS9Kh1iXniOJnv" xr:uid="{3354F980-0AAD-45F0-AD09-0AF380F65CD1}"/>
    <hyperlink ref="G66" r:id="rId332" display="https://drive.google.com/drive/folders/16QIBBflSCj3bHcb7A90wtznJG9rfv1eO?usp=drive_link" xr:uid="{579196B9-8877-4770-A0F1-0859904EAE46}"/>
    <hyperlink ref="H66" r:id="rId333" display="https://www.google.com/maps?q=Ande+Metropolis,+Zgvispiri+10+/+Adlia+29,+Batumi+6000,+%D0%93%D1%80%D1%83%D0%B7%D0%B8%D1%8F&amp;ftid=0x40678547da0b4a55:0xe5514d202d290b10&amp;hl=ru-GE&amp;gl=ge&amp;entry=gps&amp;lucs=s2se&amp;g_ep=EgY1LjgxLjEYAEICVVM%3D&amp;shorturl=1" xr:uid="{6AD0B99F-0D0C-48F5-AA7C-75E4A015F1EB}"/>
    <hyperlink ref="I66" r:id="rId334" display="https://drive.google.com/drive/folders/1OL_2EuXwux5hqJTAu6Ai1A-IzJoX1U61" xr:uid="{DCED5406-3466-4F2C-9742-380BA4B0F4A8}"/>
    <hyperlink ref="F67" r:id="rId335" display="https://chat.whatsapp.com/FEY35HV9sS9Kh1iXniOJnv" xr:uid="{352D701C-A036-4F7F-B9C9-47403EED28B5}"/>
    <hyperlink ref="G67" r:id="rId336" display="https://drive.google.com/drive/folders/1-x67kVhfFHv-NAs6iIMrKyMdEW2720p4?usp=drive_link" xr:uid="{BE45A0C6-09CB-4252-8F1C-E88AB7E8ED3B}"/>
    <hyperlink ref="H67" r:id="rId337" display="https://yandex.com.ge/maps/10278/batumi/house/YEgYcw5lSk0DQFprfXpzcH5jYw==/?ll=41.595384%2C41.621207&amp;z=16" xr:uid="{E3BB5710-FA67-4839-8086-463E7B358344}"/>
    <hyperlink ref="I67" r:id="rId338" display="https://drive.google.com/drive/folders/1zNUpWPzsS_0p535NgfdK0X7-PmHfVD4g" xr:uid="{1E9FABB7-4A4C-4B2A-88B2-788125CC547C}"/>
    <hyperlink ref="E68" r:id="rId339" display="https://avangardseaside.com/?lang=ru" xr:uid="{7A386F16-D6FF-42F7-B1E9-5F0B799387D0}"/>
    <hyperlink ref="G68" r:id="rId340" display="https://drive.google.com/drive/folders/1HMEvDTt1q48w6-QC1lWlUgx2NjHnsz0l" xr:uid="{742DA477-5467-4308-98E2-159599605174}"/>
    <hyperlink ref="H68" r:id="rId341" display="https://yandex.com.ge/maps/org/avangard_seaside_area/31910780524/?ll=41.593992%2C41.620122&amp;z=16" xr:uid="{517B9587-1C95-46F5-BEC6-4D548A776DF8}"/>
    <hyperlink ref="I68" r:id="rId342" display="https://drive.google.com/drive/folders/1YOdEqDDWLGRMkICOMf7EuVdQwnjiua0U?usp=drive_link" xr:uid="{EA48EB54-2965-437D-A36F-B3861029AA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Kirillka:D Kirillka:D</dc:creator>
  <cp:lastModifiedBy>Kirillka:D Kirillka:D</cp:lastModifiedBy>
  <dcterms:created xsi:type="dcterms:W3CDTF">2026-03-25T08:40:04Z</dcterms:created>
  <dcterms:modified xsi:type="dcterms:W3CDTF">2026-03-25T08:41:02Z</dcterms:modified>
</cp:coreProperties>
</file>